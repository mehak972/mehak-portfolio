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u/Desktop/"/>
    </mc:Choice>
  </mc:AlternateContent>
  <xr:revisionPtr revIDLastSave="0" documentId="8_{BFCBA2DE-6376-154E-8C0D-F152E70CA1EB}" xr6:coauthVersionLast="47" xr6:coauthVersionMax="47" xr10:uidLastSave="{00000000-0000-0000-0000-000000000000}"/>
  <bookViews>
    <workbookView xWindow="0" yWindow="500" windowWidth="28800" windowHeight="17500" activeTab="4" xr2:uid="{4131980E-ECCC-5346-8D7B-80A919AF306A}"/>
  </bookViews>
  <sheets>
    <sheet name="Surat" sheetId="2" r:id="rId1"/>
    <sheet name="Amdavad" sheetId="1" r:id="rId2"/>
    <sheet name="Greater Hyderabad" sheetId="3" r:id="rId3"/>
    <sheet name="Kolkata " sheetId="4" r:id="rId4"/>
    <sheet name="Pune" sheetId="5" r:id="rId5"/>
    <sheet name="Revenue and Expenditu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5" l="1"/>
  <c r="S6" i="5"/>
  <c r="R7" i="5"/>
  <c r="R6" i="5"/>
  <c r="Q7" i="5"/>
  <c r="Q6" i="5"/>
  <c r="T7" i="4"/>
  <c r="T6" i="4"/>
  <c r="S7" i="4"/>
  <c r="S6" i="4"/>
  <c r="R7" i="4"/>
  <c r="R6" i="4"/>
  <c r="R5" i="3"/>
  <c r="R4" i="3"/>
  <c r="Q5" i="3"/>
  <c r="Q4" i="3"/>
  <c r="P5" i="3"/>
  <c r="P4" i="3"/>
  <c r="R7" i="1"/>
  <c r="R6" i="1"/>
  <c r="Q7" i="1"/>
  <c r="Q6" i="1"/>
  <c r="P7" i="1"/>
  <c r="P6" i="1"/>
  <c r="T8" i="2"/>
  <c r="T7" i="2"/>
  <c r="S8" i="2"/>
  <c r="S7" i="2"/>
  <c r="R8" i="2"/>
  <c r="R7" i="2"/>
  <c r="P7" i="5"/>
  <c r="P6" i="5"/>
  <c r="Q6" i="4"/>
  <c r="Q7" i="4" s="1"/>
  <c r="O5" i="3"/>
  <c r="O4" i="3"/>
  <c r="O7" i="1"/>
  <c r="O6" i="1"/>
  <c r="Q8" i="2"/>
  <c r="Q7" i="2"/>
</calcChain>
</file>

<file path=xl/sharedStrings.xml><?xml version="1.0" encoding="utf-8"?>
<sst xmlns="http://schemas.openxmlformats.org/spreadsheetml/2006/main" count="427" uniqueCount="59">
  <si>
    <t>Major Group/Minor Group</t>
  </si>
  <si>
    <t>2022-23</t>
  </si>
  <si>
    <t>2021-22</t>
  </si>
  <si>
    <t>2020-21</t>
  </si>
  <si>
    <t>2019-20</t>
  </si>
  <si>
    <t>Surat Municipal Corporation</t>
  </si>
  <si>
    <t>A.Income</t>
  </si>
  <si>
    <t>Tax Revenue</t>
  </si>
  <si>
    <t>Assigned Revenues &amp; Compensation</t>
  </si>
  <si>
    <t>-</t>
  </si>
  <si>
    <t>Rental Income from Municipal Properties</t>
  </si>
  <si>
    <t>Fee &amp; User Charges</t>
  </si>
  <si>
    <t>Sale &amp; Hire charges</t>
  </si>
  <si>
    <t>Revenue Grants, Contributions &amp; Subsidies</t>
  </si>
  <si>
    <t>Income from Investment</t>
  </si>
  <si>
    <t>Interest earned</t>
  </si>
  <si>
    <t>Other Income</t>
  </si>
  <si>
    <t>Others</t>
  </si>
  <si>
    <t>Total Income (A) </t>
  </si>
  <si>
    <t>B.Expenditure</t>
  </si>
  <si>
    <t>Establishment Expenses</t>
  </si>
  <si>
    <t>Administrative Expenses</t>
  </si>
  <si>
    <t>Operation &amp; Maintenance</t>
  </si>
  <si>
    <t>Interest &amp; Finance Charges</t>
  </si>
  <si>
    <t>Programme Expenses</t>
  </si>
  <si>
    <t>Revenue Grants, Contributions &amp; Subsidies (Exp)</t>
  </si>
  <si>
    <t>Provisions and Write Off</t>
  </si>
  <si>
    <t>Miscellaneous Expenses</t>
  </si>
  <si>
    <t>Depreciation on Fixed Assets</t>
  </si>
  <si>
    <t>Total Expenditure(B) </t>
  </si>
  <si>
    <t>Gross Surplus/(Deficit) of Income over Expenditure before Prior Period Items (C) (A-B)</t>
  </si>
  <si>
    <t>Prior Period items</t>
  </si>
  <si>
    <t>Gross Surplus/(Deficit) of Income over Expenditure after Prior Period Items item(D) (C+280)</t>
  </si>
  <si>
    <t>Transfer to Reserve Funds</t>
  </si>
  <si>
    <t>Net Surplus/(Deficit) carried over (E) (D+290)</t>
  </si>
  <si>
    <t>Amdavad Municipal Corporation</t>
  </si>
  <si>
    <t>Greater Hyderabad Municipal Corporation</t>
  </si>
  <si>
    <t>Kolkata Municipal Corporation</t>
  </si>
  <si>
    <t>Pune Municipal Corporation</t>
  </si>
  <si>
    <t>City</t>
  </si>
  <si>
    <t>Financial Year</t>
  </si>
  <si>
    <t>Total Revenue (₹ Cr)</t>
  </si>
  <si>
    <t>Total Expenditure (₹ Cr)</t>
  </si>
  <si>
    <t>Surat</t>
  </si>
  <si>
    <t>2019–20</t>
  </si>
  <si>
    <t>2020–21</t>
  </si>
  <si>
    <t>2021–22</t>
  </si>
  <si>
    <t>2022–23</t>
  </si>
  <si>
    <t>Ahmedabad</t>
  </si>
  <si>
    <t>Greater Hyderabad</t>
  </si>
  <si>
    <t>Kolkata</t>
  </si>
  <si>
    <t>Pune</t>
  </si>
  <si>
    <t xml:space="preserve">Amdavad </t>
  </si>
  <si>
    <t>Share=</t>
  </si>
  <si>
    <t>Own Source =</t>
  </si>
  <si>
    <t>2022-2023</t>
  </si>
  <si>
    <t>2019-2020</t>
  </si>
  <si>
    <t>2020-2021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</si>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</sst>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1A1B1F"/>
      <name val="Arial"/>
      <family val="2"/>
    </font>
    <font>
      <sz val="14"/>
      <color rgb="FF1A1B1F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1A1B1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Surat</a:t>
            </a:r>
            <a:r>
              <a:rPr lang="en-GB" b="1" baseline="0"/>
              <a:t> Municipal Corporation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Surat!$K$2</c:f>
              <c:strCache>
                <c:ptCount val="1"/>
                <c:pt idx="0">
                  <c:v>Total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Surat!$J$3:$J$6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Surat!$K$3:$K$6</c:f>
              <c:numCache>
                <c:formatCode>#,##0</c:formatCode>
                <c:ptCount val="4"/>
                <c:pt idx="0">
                  <c:v>2837</c:v>
                </c:pt>
                <c:pt idx="1">
                  <c:v>2786</c:v>
                </c:pt>
                <c:pt idx="2">
                  <c:v>3313</c:v>
                </c:pt>
                <c:pt idx="3">
                  <c:v>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2-114C-93DC-6A0FA6BBF56F}"/>
            </c:ext>
          </c:extLst>
        </c:ser>
        <c:ser>
          <c:idx val="1"/>
          <c:order val="1"/>
          <c:tx>
            <c:strRef>
              <c:f>Surat!$L$2</c:f>
              <c:strCache>
                <c:ptCount val="1"/>
                <c:pt idx="0">
                  <c:v>Total Expenditure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Surat!$J$3:$J$6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Surat!$L$3:$L$6</c:f>
              <c:numCache>
                <c:formatCode>#,##0</c:formatCode>
                <c:ptCount val="4"/>
                <c:pt idx="0">
                  <c:v>2836</c:v>
                </c:pt>
                <c:pt idx="1">
                  <c:v>3025</c:v>
                </c:pt>
                <c:pt idx="2">
                  <c:v>3479</c:v>
                </c:pt>
                <c:pt idx="3">
                  <c:v>3852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2-114C-93DC-6A0FA6BBF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838703"/>
        <c:axId val="1655778767"/>
      </c:barChart>
      <c:catAx>
        <c:axId val="165583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78767"/>
        <c:crosses val="autoZero"/>
        <c:auto val="1"/>
        <c:lblAlgn val="ctr"/>
        <c:lblOffset val="100"/>
        <c:noMultiLvlLbl val="0"/>
      </c:catAx>
      <c:valAx>
        <c:axId val="165577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3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Surat</a:t>
            </a:r>
            <a:r>
              <a:rPr lang="en-GB" b="1" baseline="0"/>
              <a:t> Revenue Mix  2022-23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D-7044-AD5C-E91844262D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D-7044-AD5C-E91844262D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5D-7044-AD5C-E91844262D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5D-7044-AD5C-E91844262D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D-7044-AD5C-E91844262DD2}"/>
              </c:ext>
            </c:extLst>
          </c:dPt>
          <c:dLbls>
            <c:dLbl>
              <c:idx val="0"/>
              <c:layout>
                <c:manualLayout>
                  <c:x val="0.15976430771606903"/>
                  <c:y val="-4.16508129055170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25805166488983"/>
                      <c:h val="6.1713927800320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95D-7044-AD5C-E91844262DD2}"/>
                </c:ext>
              </c:extLst>
            </c:dLbl>
            <c:dLbl>
              <c:idx val="1"/>
              <c:layout>
                <c:manualLayout>
                  <c:x val="0.14132553606237808"/>
                  <c:y val="1.8518518518518517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5D-7044-AD5C-E91844262DD2}"/>
                </c:ext>
              </c:extLst>
            </c:dLbl>
            <c:dLbl>
              <c:idx val="2"/>
              <c:layout>
                <c:manualLayout>
                  <c:x val="-0.12183235867446393"/>
                  <c:y val="6.1728395061727264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5D-7044-AD5C-E91844262DD2}"/>
                </c:ext>
              </c:extLst>
            </c:dLbl>
            <c:dLbl>
              <c:idx val="3"/>
              <c:layout>
                <c:manualLayout>
                  <c:x val="-3.6549707602339269E-2"/>
                  <c:y val="-0.12345679012345677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5D-7044-AD5C-E91844262DD2}"/>
                </c:ext>
              </c:extLst>
            </c:dLbl>
            <c:dLbl>
              <c:idx val="4"/>
              <c:layout>
                <c:manualLayout>
                  <c:x val="-7.3099415204679252E-3"/>
                  <c:y val="-0.13580246913580249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5D-7044-AD5C-E91844262D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(Surat!$A$5:$A$6,Surat!$A$8,Surat!$A$10,Surat!$A$12)</c:f>
              <c:strCache>
                <c:ptCount val="5"/>
                <c:pt idx="0">
                  <c:v>Tax Revenue</c:v>
                </c:pt>
                <c:pt idx="1">
                  <c:v>Assigned Revenues &amp; Compensation</c:v>
                </c:pt>
                <c:pt idx="2">
                  <c:v>Fee &amp; User Charges</c:v>
                </c:pt>
                <c:pt idx="3">
                  <c:v>Revenue Grants, Contributions &amp; Subsidies</c:v>
                </c:pt>
                <c:pt idx="4">
                  <c:v>Interest earned</c:v>
                </c:pt>
              </c:strCache>
            </c:strRef>
          </c:cat>
          <c:val>
            <c:numRef>
              <c:f>(Surat!$B$5:$B$6,Surat!$B$8,Surat!$B$10,Surat!$B$12)</c:f>
              <c:numCache>
                <c:formatCode>General</c:formatCode>
                <c:ptCount val="5"/>
                <c:pt idx="0">
                  <c:v>934</c:v>
                </c:pt>
                <c:pt idx="1">
                  <c:v>774</c:v>
                </c:pt>
                <c:pt idx="2" formatCode="#,##0">
                  <c:v>1554</c:v>
                </c:pt>
                <c:pt idx="3">
                  <c:v>138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D-7044-AD5C-E91844262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Surat</a:t>
            </a:r>
            <a:r>
              <a:rPr lang="en-GB" b="1" baseline="0"/>
              <a:t> Expenditure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A-2C4C-AAFF-05AC8B0E3D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E4A-2C4C-AAFF-05AC8B0E3D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4A-2C4C-AAFF-05AC8B0E3D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E4A-2C4C-AAFF-05AC8B0E3D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4A-2C4C-AAFF-05AC8B0E3D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4A-2C4C-AAFF-05AC8B0E3D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4A-2C4C-AAFF-05AC8B0E3DFD}"/>
              </c:ext>
            </c:extLst>
          </c:dPt>
          <c:dLbls>
            <c:dLbl>
              <c:idx val="0"/>
              <c:layout>
                <c:manualLayout>
                  <c:x val="0.1388888888888889"/>
                  <c:y val="-1.7806267806267807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4A-2C4C-AAFF-05AC8B0E3DFD}"/>
                </c:ext>
              </c:extLst>
            </c:dLbl>
            <c:dLbl>
              <c:idx val="1"/>
              <c:layout>
                <c:manualLayout>
                  <c:x val="-1.6762452107279783E-2"/>
                  <c:y val="0.11396011396011396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4A-2C4C-AAFF-05AC8B0E3DFD}"/>
                </c:ext>
              </c:extLst>
            </c:dLbl>
            <c:dLbl>
              <c:idx val="2"/>
              <c:layout>
                <c:manualLayout>
                  <c:x val="-9.0996168582375483E-2"/>
                  <c:y val="8.1908831908831845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4A-2C4C-AAFF-05AC8B0E3DFD}"/>
                </c:ext>
              </c:extLst>
            </c:dLbl>
            <c:dLbl>
              <c:idx val="3"/>
              <c:layout>
                <c:manualLayout>
                  <c:x val="-0.11015325670498088"/>
                  <c:y val="4.629629629629629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4A-2C4C-AAFF-05AC8B0E3DFD}"/>
                </c:ext>
              </c:extLst>
            </c:dLbl>
            <c:dLbl>
              <c:idx val="4"/>
              <c:layout>
                <c:manualLayout>
                  <c:x val="-0.19636015325670503"/>
                  <c:y val="7.1225071225071226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4A-2C4C-AAFF-05AC8B0E3DFD}"/>
                </c:ext>
              </c:extLst>
            </c:dLbl>
            <c:dLbl>
              <c:idx val="5"/>
              <c:layout>
                <c:manualLayout>
                  <c:x val="-0.12931034482758622"/>
                  <c:y val="0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4A-2C4C-AAFF-05AC8B0E3DFD}"/>
                </c:ext>
              </c:extLst>
            </c:dLbl>
            <c:dLbl>
              <c:idx val="6"/>
              <c:layout>
                <c:manualLayout>
                  <c:x val="-7.9022988505747169E-2"/>
                  <c:y val="-0.12464387464387465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4A-2C4C-AAFF-05AC8B0E3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(Surat!$A$17:$A$20,Surat!$A$22,Surat!$A$24:$A$25)</c:f>
              <c:strCache>
                <c:ptCount val="7"/>
                <c:pt idx="0">
                  <c:v>Establishment Expenses</c:v>
                </c:pt>
                <c:pt idx="1">
                  <c:v>Administrative Expenses</c:v>
                </c:pt>
                <c:pt idx="2">
                  <c:v>Operation &amp; Maintenance</c:v>
                </c:pt>
                <c:pt idx="3">
                  <c:v>Interest &amp; Finance Charges</c:v>
                </c:pt>
                <c:pt idx="4">
                  <c:v>Revenue Grants, Contributions &amp; Subsidies (Exp)</c:v>
                </c:pt>
                <c:pt idx="5">
                  <c:v>Miscellaneous Expenses</c:v>
                </c:pt>
                <c:pt idx="6">
                  <c:v>Depreciation on Fixed Assets</c:v>
                </c:pt>
              </c:strCache>
            </c:strRef>
          </c:cat>
          <c:val>
            <c:numRef>
              <c:f>(Surat!$B$17:$B$20,Surat!$B$22,Surat!$B$24:$B$25)</c:f>
              <c:numCache>
                <c:formatCode>General</c:formatCode>
                <c:ptCount val="7"/>
                <c:pt idx="0" formatCode="#,##0">
                  <c:v>1743</c:v>
                </c:pt>
                <c:pt idx="1">
                  <c:v>462</c:v>
                </c:pt>
                <c:pt idx="2">
                  <c:v>402</c:v>
                </c:pt>
                <c:pt idx="3">
                  <c:v>30</c:v>
                </c:pt>
                <c:pt idx="4">
                  <c:v>156</c:v>
                </c:pt>
                <c:pt idx="5">
                  <c:v>353</c:v>
                </c:pt>
                <c:pt idx="6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A-2C4C-AAFF-05AC8B0E3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Amdavad</a:t>
            </a:r>
            <a:r>
              <a:rPr lang="en-GB" b="1" baseline="0"/>
              <a:t> Municipal Corporation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Amdavad!$J$1</c:f>
              <c:strCache>
                <c:ptCount val="1"/>
                <c:pt idx="0">
                  <c:v>Total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Amdavad!$I$2:$I$5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Amdavad!$J$2:$J$5</c:f>
              <c:numCache>
                <c:formatCode>#,##0</c:formatCode>
                <c:ptCount val="4"/>
                <c:pt idx="0">
                  <c:v>4395</c:v>
                </c:pt>
                <c:pt idx="1">
                  <c:v>5203</c:v>
                </c:pt>
                <c:pt idx="2">
                  <c:v>4977</c:v>
                </c:pt>
                <c:pt idx="3">
                  <c:v>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3-BD4E-922F-3A2293956D08}"/>
            </c:ext>
          </c:extLst>
        </c:ser>
        <c:ser>
          <c:idx val="1"/>
          <c:order val="1"/>
          <c:tx>
            <c:strRef>
              <c:f>Amdavad!$K$1</c:f>
              <c:strCache>
                <c:ptCount val="1"/>
                <c:pt idx="0">
                  <c:v>Total Expenditure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Amdavad!$I$2:$I$5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Amdavad!$K$2:$K$5</c:f>
              <c:numCache>
                <c:formatCode>#,##0</c:formatCode>
                <c:ptCount val="4"/>
                <c:pt idx="0">
                  <c:v>3737</c:v>
                </c:pt>
                <c:pt idx="1">
                  <c:v>4558</c:v>
                </c:pt>
                <c:pt idx="2">
                  <c:v>4512</c:v>
                </c:pt>
                <c:pt idx="3">
                  <c:v>5004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3-BD4E-922F-3A2293956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436751"/>
        <c:axId val="1851060207"/>
      </c:barChart>
      <c:catAx>
        <c:axId val="16564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60207"/>
        <c:crosses val="autoZero"/>
        <c:auto val="1"/>
        <c:lblAlgn val="ctr"/>
        <c:lblOffset val="100"/>
        <c:noMultiLvlLbl val="0"/>
      </c:catAx>
      <c:valAx>
        <c:axId val="18510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3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Amdavad</a:t>
            </a:r>
            <a:r>
              <a:rPr lang="en-GB" b="1" baseline="0"/>
              <a:t> Revenue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A-364A-8ABE-FCF2BB882F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1A-364A-8ABE-FCF2BB882F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A-364A-8ABE-FCF2BB882F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1A-364A-8ABE-FCF2BB882F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D3-7B42-9231-5B9183413A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1A-364A-8ABE-FCF2BB882F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C1A-364A-8ABE-FCF2BB882FD8}"/>
              </c:ext>
            </c:extLst>
          </c:dPt>
          <c:dLbls>
            <c:dLbl>
              <c:idx val="0"/>
              <c:layout>
                <c:manualLayout>
                  <c:x val="0.12373737373737383"/>
                  <c:y val="-3.3875347789126759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1A-364A-8ABE-FCF2BB882FD8}"/>
                </c:ext>
              </c:extLst>
            </c:dLbl>
            <c:dLbl>
              <c:idx val="1"/>
              <c:layout>
                <c:manualLayout>
                  <c:x val="0.12373737373737374"/>
                  <c:y val="6.775069557825351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1A-364A-8ABE-FCF2BB882FD8}"/>
                </c:ext>
              </c:extLst>
            </c:dLbl>
            <c:dLbl>
              <c:idx val="2"/>
              <c:layout>
                <c:manualLayout>
                  <c:x val="-3.2828282828282873E-2"/>
                  <c:y val="0.12195125204085634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1A-364A-8ABE-FCF2BB882FD8}"/>
                </c:ext>
              </c:extLst>
            </c:dLbl>
            <c:dLbl>
              <c:idx val="3"/>
              <c:layout>
                <c:manualLayout>
                  <c:x val="-0.11363636363636363"/>
                  <c:y val="1.6937673894563379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1A-364A-8ABE-FCF2BB882FD8}"/>
                </c:ext>
              </c:extLst>
            </c:dLbl>
            <c:dLbl>
              <c:idx val="4"/>
              <c:layout>
                <c:manualLayout>
                  <c:x val="-0.11868686868686869"/>
                  <c:y val="-6.775069557825351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D3-7B42-9231-5B9183413A2C}"/>
                </c:ext>
              </c:extLst>
            </c:dLbl>
            <c:dLbl>
              <c:idx val="5"/>
              <c:layout>
                <c:manualLayout>
                  <c:x val="-4.5454545454545497E-2"/>
                  <c:y val="-0.1117886477041183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1A-364A-8ABE-FCF2BB882FD8}"/>
                </c:ext>
              </c:extLst>
            </c:dLbl>
            <c:dLbl>
              <c:idx val="6"/>
              <c:layout>
                <c:manualLayout>
                  <c:x val="1.5151515151515244E-2"/>
                  <c:y val="-0.11856371726194366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1A-364A-8ABE-FCF2BB882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(Amdavad!$A$4:$A$7,Amdavad!$A$9,Amdavad!$A$11:$A$12)</c:f>
              <c:strCache>
                <c:ptCount val="7"/>
                <c:pt idx="0">
                  <c:v>Tax Revenue</c:v>
                </c:pt>
                <c:pt idx="1">
                  <c:v>Assigned Revenues &amp; Compensation</c:v>
                </c:pt>
                <c:pt idx="2">
                  <c:v>Rental Income from Municipal Properties</c:v>
                </c:pt>
                <c:pt idx="3">
                  <c:v>Fee &amp; User Charges</c:v>
                </c:pt>
                <c:pt idx="4">
                  <c:v>Revenue Grants, Contributions &amp; Subsidies</c:v>
                </c:pt>
                <c:pt idx="5">
                  <c:v>Interest earned</c:v>
                </c:pt>
                <c:pt idx="6">
                  <c:v>Other Income</c:v>
                </c:pt>
              </c:strCache>
            </c:strRef>
          </c:cat>
          <c:val>
            <c:numRef>
              <c:f>(Amdavad!$B$4:$B$7,Amdavad!$B$9,Amdavad!$B$11:$B$12)</c:f>
              <c:numCache>
                <c:formatCode>#,##0</c:formatCode>
                <c:ptCount val="7"/>
                <c:pt idx="0">
                  <c:v>1642</c:v>
                </c:pt>
                <c:pt idx="1">
                  <c:v>1120</c:v>
                </c:pt>
                <c:pt idx="2" formatCode="General">
                  <c:v>62</c:v>
                </c:pt>
                <c:pt idx="3">
                  <c:v>1275</c:v>
                </c:pt>
                <c:pt idx="4" formatCode="General">
                  <c:v>913</c:v>
                </c:pt>
                <c:pt idx="5" formatCode="General">
                  <c:v>112</c:v>
                </c:pt>
                <c:pt idx="6" formatCode="General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A-364A-8ABE-FCF2BB882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Amdavad</a:t>
            </a:r>
            <a:r>
              <a:rPr lang="en-GB" b="1" baseline="0"/>
              <a:t> Expenditure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8-AA4A-ACB9-949A103C9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68-AA4A-ACB9-949A103C9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968-AA4A-ACB9-949A103C9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8-AA4A-ACB9-949A103C9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8-AA4A-ACB9-949A103C9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8-AA4A-ACB9-949A103C9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68-AA4A-ACB9-949A103C911C}"/>
              </c:ext>
            </c:extLst>
          </c:dPt>
          <c:dLbls>
            <c:dLbl>
              <c:idx val="0"/>
              <c:layout>
                <c:manualLayout>
                  <c:x val="0.14117647058823529"/>
                  <c:y val="-9.4488142110165738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68-AA4A-ACB9-949A103C911C}"/>
                </c:ext>
              </c:extLst>
            </c:dLbl>
            <c:dLbl>
              <c:idx val="1"/>
              <c:layout>
                <c:manualLayout>
                  <c:x val="0.10718954248366004"/>
                  <c:y val="6.299209474011043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68-AA4A-ACB9-949A103C911C}"/>
                </c:ext>
              </c:extLst>
            </c:dLbl>
            <c:dLbl>
              <c:idx val="2"/>
              <c:layout>
                <c:manualLayout>
                  <c:x val="-4.7929729536075267E-17"/>
                  <c:y val="9.7637746847171261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68-AA4A-ACB9-949A103C911C}"/>
                </c:ext>
              </c:extLst>
            </c:dLbl>
            <c:dLbl>
              <c:idx val="3"/>
              <c:layout>
                <c:manualLayout>
                  <c:x val="-0.13071895424836605"/>
                  <c:y val="6.6141699477115956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68-AA4A-ACB9-949A103C911C}"/>
                </c:ext>
              </c:extLst>
            </c:dLbl>
            <c:dLbl>
              <c:idx val="4"/>
              <c:layout>
                <c:manualLayout>
                  <c:x val="-0.12549019607843132"/>
                  <c:y val="-2.8346442633049748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68-AA4A-ACB9-949A103C911C}"/>
                </c:ext>
              </c:extLst>
            </c:dLbl>
            <c:dLbl>
              <c:idx val="5"/>
              <c:layout>
                <c:manualLayout>
                  <c:x val="-8.3660130718954243E-2"/>
                  <c:y val="-7.2440908951127078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68-AA4A-ACB9-949A103C911C}"/>
                </c:ext>
              </c:extLst>
            </c:dLbl>
            <c:dLbl>
              <c:idx val="6"/>
              <c:layout>
                <c:manualLayout>
                  <c:x val="-5.2287581699346402E-3"/>
                  <c:y val="-9.7637746847171261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68-AA4A-ACB9-949A103C9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(Amdavad!$A$16:$A$18,Amdavad!$A$20:$A$22,Amdavad!$A$24)</c:f>
              <c:strCache>
                <c:ptCount val="7"/>
                <c:pt idx="0">
                  <c:v>Establishment Expenses</c:v>
                </c:pt>
                <c:pt idx="1">
                  <c:v>Administrative Expenses</c:v>
                </c:pt>
                <c:pt idx="2">
                  <c:v>Operation &amp; Maintenance</c:v>
                </c:pt>
                <c:pt idx="3">
                  <c:v>Programme Expenses</c:v>
                </c:pt>
                <c:pt idx="4">
                  <c:v>Revenue Grants, Contributions &amp; Subsidies (Exp)</c:v>
                </c:pt>
                <c:pt idx="5">
                  <c:v>Provisions and Write Off</c:v>
                </c:pt>
                <c:pt idx="6">
                  <c:v>Depreciation on Fixed Assets</c:v>
                </c:pt>
              </c:strCache>
            </c:strRef>
          </c:cat>
          <c:val>
            <c:numRef>
              <c:f>(Amdavad!$B$16:$B$18,Amdavad!$B$20:$B$22,Amdavad!$B$24)</c:f>
              <c:numCache>
                <c:formatCode>General</c:formatCode>
                <c:ptCount val="7"/>
                <c:pt idx="0" formatCode="#,##0">
                  <c:v>1933</c:v>
                </c:pt>
                <c:pt idx="1">
                  <c:v>219</c:v>
                </c:pt>
                <c:pt idx="2" formatCode="#,##0">
                  <c:v>1104</c:v>
                </c:pt>
                <c:pt idx="3">
                  <c:v>278</c:v>
                </c:pt>
                <c:pt idx="4" formatCode="#,##0">
                  <c:v>1028</c:v>
                </c:pt>
                <c:pt idx="5">
                  <c:v>207</c:v>
                </c:pt>
                <c:pt idx="6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8-AA4A-ACB9-949A103C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Greater</a:t>
            </a:r>
            <a:r>
              <a:rPr lang="en-GB" b="1" baseline="0"/>
              <a:t> Hyderabad Municipal Corporation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'Greater Hyderabad'!$J$2</c:f>
              <c:strCache>
                <c:ptCount val="1"/>
                <c:pt idx="0">
                  <c:v>Total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'Greater Hyderabad'!$I$3:$I$6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'Greater Hyderabad'!$J$3:$J$6</c:f>
              <c:numCache>
                <c:formatCode>#,##0</c:formatCode>
                <c:ptCount val="4"/>
                <c:pt idx="0">
                  <c:v>3146</c:v>
                </c:pt>
                <c:pt idx="1">
                  <c:v>2937</c:v>
                </c:pt>
                <c:pt idx="2">
                  <c:v>3524</c:v>
                </c:pt>
                <c:pt idx="3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9-A840-8E5F-9C7F9D9CFB82}"/>
            </c:ext>
          </c:extLst>
        </c:ser>
        <c:ser>
          <c:idx val="1"/>
          <c:order val="1"/>
          <c:tx>
            <c:strRef>
              <c:f>'Greater Hyderabad'!$K$2</c:f>
              <c:strCache>
                <c:ptCount val="1"/>
                <c:pt idx="0">
                  <c:v>Total Expenditure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'Greater Hyderabad'!$I$3:$I$6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'Greater Hyderabad'!$K$3:$K$6</c:f>
              <c:numCache>
                <c:formatCode>#,##0</c:formatCode>
                <c:ptCount val="4"/>
                <c:pt idx="0">
                  <c:v>2292</c:v>
                </c:pt>
                <c:pt idx="1">
                  <c:v>2050</c:v>
                </c:pt>
                <c:pt idx="2">
                  <c:v>2874</c:v>
                </c:pt>
                <c:pt idx="3">
                  <c:v>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9-A840-8E5F-9C7F9D9C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453343"/>
        <c:axId val="2036851647"/>
      </c:barChart>
      <c:catAx>
        <c:axId val="16564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51647"/>
        <c:crosses val="autoZero"/>
        <c:auto val="1"/>
        <c:lblAlgn val="ctr"/>
        <c:lblOffset val="100"/>
        <c:noMultiLvlLbl val="0"/>
      </c:catAx>
      <c:valAx>
        <c:axId val="203685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5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Greater</a:t>
            </a:r>
            <a:r>
              <a:rPr lang="en-GB" b="1" baseline="0"/>
              <a:t> Hyderabad Revenue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E8-0841-9D03-E66C279D6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E8-0841-9D03-E66C279D6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E8-0841-9D03-E66C279D6C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E8-0841-9D03-E66C279D6C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E8-0841-9D03-E66C279D6C4A}"/>
              </c:ext>
            </c:extLst>
          </c:dPt>
          <c:dLbls>
            <c:dLbl>
              <c:idx val="0"/>
              <c:layout>
                <c:manualLayout>
                  <c:x val="7.7827023451542049E-2"/>
                  <c:y val="-8.4538143598574233E-17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E8-0841-9D03-E66C279D6C4A}"/>
                </c:ext>
              </c:extLst>
            </c:dLbl>
            <c:dLbl>
              <c:idx val="1"/>
              <c:layout>
                <c:manualLayout>
                  <c:x val="-4.9526287650981361E-2"/>
                  <c:y val="0.11528061844148575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E8-0841-9D03-E66C279D6C4A}"/>
                </c:ext>
              </c:extLst>
            </c:dLbl>
            <c:dLbl>
              <c:idx val="2"/>
              <c:layout>
                <c:manualLayout>
                  <c:x val="-0.11320294320224311"/>
                  <c:y val="9.2224494753188734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E8-0841-9D03-E66C279D6C4A}"/>
                </c:ext>
              </c:extLst>
            </c:dLbl>
            <c:dLbl>
              <c:idx val="3"/>
              <c:layout>
                <c:manualLayout>
                  <c:x val="-0.11791973250233662"/>
                  <c:y val="-4.611224737659441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E8-0841-9D03-E66C279D6C4A}"/>
                </c:ext>
              </c:extLst>
            </c:dLbl>
            <c:dLbl>
              <c:idx val="4"/>
              <c:layout>
                <c:manualLayout>
                  <c:x val="-8.2543812751635609E-2"/>
                  <c:y val="-0.10605816896616707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E8-0841-9D03-E66C279D6C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('Greater Hyderabad'!$A$5:$A$6,'Greater Hyderabad'!$A$8,'Greater Hyderabad'!$A$10,'Greater Hyderabad'!$A$12)</c:f>
              <c:strCache>
                <c:ptCount val="5"/>
                <c:pt idx="0">
                  <c:v>Tax Revenue</c:v>
                </c:pt>
                <c:pt idx="1">
                  <c:v>Assigned Revenues &amp; Compensation</c:v>
                </c:pt>
                <c:pt idx="2">
                  <c:v>Fee &amp; User Charges</c:v>
                </c:pt>
                <c:pt idx="3">
                  <c:v>Revenue Grants, Contributions &amp; Subsidies</c:v>
                </c:pt>
                <c:pt idx="4">
                  <c:v>Interest earned</c:v>
                </c:pt>
              </c:strCache>
            </c:strRef>
          </c:cat>
          <c:val>
            <c:numRef>
              <c:f>('Greater Hyderabad'!$B$5:$B$6,'Greater Hyderabad'!$B$8,'Greater Hyderabad'!$B$10,'Greater Hyderabad'!$B$12)</c:f>
              <c:numCache>
                <c:formatCode>General</c:formatCode>
                <c:ptCount val="5"/>
                <c:pt idx="0" formatCode="#,##0">
                  <c:v>1826</c:v>
                </c:pt>
                <c:pt idx="1">
                  <c:v>42</c:v>
                </c:pt>
                <c:pt idx="2" formatCode="#,##0">
                  <c:v>1607</c:v>
                </c:pt>
                <c:pt idx="3">
                  <c:v>280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8-0841-9D03-E66C279D6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Greater</a:t>
            </a:r>
            <a:r>
              <a:rPr lang="en-GB" b="1" baseline="0"/>
              <a:t> Hyderabad Expenditure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3-C14E-BC2B-8FE4BC6693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A3-C14E-BC2B-8FE4BC6693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A3-C14E-BC2B-8FE4BC6693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A3-C14E-BC2B-8FE4BC6693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3-C14E-BC2B-8FE4BC6693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A3-C14E-BC2B-8FE4BC6693B7}"/>
              </c:ext>
            </c:extLst>
          </c:dPt>
          <c:dLbls>
            <c:dLbl>
              <c:idx val="0"/>
              <c:layout>
                <c:manualLayout>
                  <c:x val="9.5906432748538009E-2"/>
                  <c:y val="-4.5569620253164606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3-C14E-BC2B-8FE4BC6693B7}"/>
                </c:ext>
              </c:extLst>
            </c:dLbl>
            <c:dLbl>
              <c:idx val="1"/>
              <c:layout>
                <c:manualLayout>
                  <c:x val="8.1837881825730416E-2"/>
                  <c:y val="6.0876185667572885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A3-C14E-BC2B-8FE4BC6693B7}"/>
                </c:ext>
              </c:extLst>
            </c:dLbl>
            <c:dLbl>
              <c:idx val="2"/>
              <c:layout>
                <c:manualLayout>
                  <c:x val="-0.10989658416598089"/>
                  <c:y val="2.5365077361488703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A3-C14E-BC2B-8FE4BC6693B7}"/>
                </c:ext>
              </c:extLst>
            </c:dLbl>
            <c:dLbl>
              <c:idx val="3"/>
              <c:layout>
                <c:manualLayout>
                  <c:x val="-9.5867232995855631E-2"/>
                  <c:y val="-2.5365077361488703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A3-C14E-BC2B-8FE4BC6693B7}"/>
                </c:ext>
              </c:extLst>
            </c:dLbl>
            <c:dLbl>
              <c:idx val="4"/>
              <c:layout>
                <c:manualLayout>
                  <c:x val="-7.248498104564699E-2"/>
                  <c:y val="-8.1168247556763842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A3-C14E-BC2B-8FE4BC6693B7}"/>
                </c:ext>
              </c:extLst>
            </c:dLbl>
            <c:dLbl>
              <c:idx val="5"/>
              <c:layout>
                <c:manualLayout>
                  <c:x val="-3.273515273029217E-2"/>
                  <c:y val="-0.1369714177520390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3-C14E-BC2B-8FE4BC6693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'Greater Hyderabad'!$A$17:$A$22</c:f>
              <c:strCache>
                <c:ptCount val="6"/>
                <c:pt idx="0">
                  <c:v>Establishment Expenses</c:v>
                </c:pt>
                <c:pt idx="1">
                  <c:v>Administrative Expenses</c:v>
                </c:pt>
                <c:pt idx="2">
                  <c:v>Operation &amp; Maintenance</c:v>
                </c:pt>
                <c:pt idx="3">
                  <c:v>Interest &amp; Finance Charges</c:v>
                </c:pt>
                <c:pt idx="4">
                  <c:v>Programme Expenses</c:v>
                </c:pt>
                <c:pt idx="5">
                  <c:v>Depreciation on Fixed Assets</c:v>
                </c:pt>
              </c:strCache>
            </c:strRef>
          </c:cat>
          <c:val>
            <c:numRef>
              <c:f>'Greater Hyderabad'!$B$17:$B$22</c:f>
              <c:numCache>
                <c:formatCode>General</c:formatCode>
                <c:ptCount val="6"/>
                <c:pt idx="0" formatCode="#,##0">
                  <c:v>1470</c:v>
                </c:pt>
                <c:pt idx="1">
                  <c:v>137</c:v>
                </c:pt>
                <c:pt idx="2">
                  <c:v>711</c:v>
                </c:pt>
                <c:pt idx="3">
                  <c:v>351</c:v>
                </c:pt>
                <c:pt idx="4">
                  <c:v>54</c:v>
                </c:pt>
                <c:pt idx="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3-C14E-BC2B-8FE4BC669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Kolkata</a:t>
            </a:r>
            <a:r>
              <a:rPr lang="en-GB" b="1" baseline="0"/>
              <a:t> Municipal Corporation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'Kolkata '!$J$2</c:f>
              <c:strCache>
                <c:ptCount val="1"/>
                <c:pt idx="0">
                  <c:v>Total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'Kolkata '!$I$3:$I$6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'Kolkata '!$J$3:$J$6</c:f>
              <c:numCache>
                <c:formatCode>#,##0</c:formatCode>
                <c:ptCount val="4"/>
                <c:pt idx="0">
                  <c:v>4163</c:v>
                </c:pt>
                <c:pt idx="1">
                  <c:v>3732</c:v>
                </c:pt>
                <c:pt idx="2">
                  <c:v>3981</c:v>
                </c:pt>
                <c:pt idx="3">
                  <c:v>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D-4643-A92A-7B5053143CA7}"/>
            </c:ext>
          </c:extLst>
        </c:ser>
        <c:ser>
          <c:idx val="1"/>
          <c:order val="1"/>
          <c:tx>
            <c:strRef>
              <c:f>'Kolkata '!$K$2</c:f>
              <c:strCache>
                <c:ptCount val="1"/>
                <c:pt idx="0">
                  <c:v>Total Expenditure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'Kolkata '!$I$3:$I$6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'Kolkata '!$K$3:$K$6</c:f>
              <c:numCache>
                <c:formatCode>#,##0</c:formatCode>
                <c:ptCount val="4"/>
                <c:pt idx="0">
                  <c:v>3908</c:v>
                </c:pt>
                <c:pt idx="1">
                  <c:v>4896</c:v>
                </c:pt>
                <c:pt idx="2">
                  <c:v>4435</c:v>
                </c:pt>
                <c:pt idx="3">
                  <c:v>4628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D-4643-A92A-7B5053143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393711"/>
        <c:axId val="1656716319"/>
      </c:barChart>
      <c:catAx>
        <c:axId val="203839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16319"/>
        <c:crosses val="autoZero"/>
        <c:auto val="1"/>
        <c:lblAlgn val="ctr"/>
        <c:lblOffset val="100"/>
        <c:noMultiLvlLbl val="0"/>
      </c:catAx>
      <c:valAx>
        <c:axId val="165671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39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Kolkata</a:t>
            </a:r>
            <a:r>
              <a:rPr lang="en-GB" b="1" baseline="0"/>
              <a:t> Revenue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7A-0C41-B221-85906C38F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F7A-0C41-B221-85906C38F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7A-0C41-B221-85906C38F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7A-0C41-B221-85906C38F0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7A-0C41-B221-85906C38F06C}"/>
              </c:ext>
            </c:extLst>
          </c:dPt>
          <c:dLbls>
            <c:dLbl>
              <c:idx val="0"/>
              <c:layout>
                <c:manualLayout>
                  <c:x val="0.15833333333333333"/>
                  <c:y val="-2.3450586264656615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7A-0C41-B221-85906C38F06C}"/>
                </c:ext>
              </c:extLst>
            </c:dLbl>
            <c:dLbl>
              <c:idx val="1"/>
              <c:layout>
                <c:manualLayout>
                  <c:x val="0.11944444444444445"/>
                  <c:y val="5.695142378559451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7A-0C41-B221-85906C38F06C}"/>
                </c:ext>
              </c:extLst>
            </c:dLbl>
            <c:dLbl>
              <c:idx val="2"/>
              <c:layout>
                <c:manualLayout>
                  <c:x val="3.2714529299428974E-2"/>
                  <c:y val="0.162293126344271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98633100969904E-2"/>
                      <c:h val="6.30740254690385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F7A-0C41-B221-85906C38F06C}"/>
                </c:ext>
              </c:extLst>
            </c:dLbl>
            <c:dLbl>
              <c:idx val="3"/>
              <c:layout>
                <c:manualLayout>
                  <c:x val="-0.14444444444444443"/>
                  <c:y val="2.010050251256281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7A-0C41-B221-85906C38F06C}"/>
                </c:ext>
              </c:extLst>
            </c:dLbl>
            <c:dLbl>
              <c:idx val="4"/>
              <c:layout>
                <c:manualLayout>
                  <c:x val="-0.14999999999999997"/>
                  <c:y val="-0.1105527638190955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7A-0C41-B221-85906C38F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('Kolkata '!$A$5,'Kolkata '!$A$7:$A$8,'Kolkata '!$A$10,'Kolkata '!$A$13)</c:f>
              <c:strCache>
                <c:ptCount val="5"/>
                <c:pt idx="0">
                  <c:v>Tax Revenue</c:v>
                </c:pt>
                <c:pt idx="1">
                  <c:v>Rental Income from Municipal Properties</c:v>
                </c:pt>
                <c:pt idx="2">
                  <c:v>Fee &amp; User Charges</c:v>
                </c:pt>
                <c:pt idx="3">
                  <c:v>Revenue Grants, Contributions &amp; Subsidies</c:v>
                </c:pt>
                <c:pt idx="4">
                  <c:v>Other Income</c:v>
                </c:pt>
              </c:strCache>
            </c:strRef>
          </c:cat>
          <c:val>
            <c:numRef>
              <c:f>('Kolkata '!$B$5,'Kolkata '!$B$7:$B$8,'Kolkata '!$B$10,'Kolkata '!$B$13)</c:f>
              <c:numCache>
                <c:formatCode>General</c:formatCode>
                <c:ptCount val="5"/>
                <c:pt idx="0" formatCode="#,##0">
                  <c:v>1391</c:v>
                </c:pt>
                <c:pt idx="1">
                  <c:v>55</c:v>
                </c:pt>
                <c:pt idx="2">
                  <c:v>321</c:v>
                </c:pt>
                <c:pt idx="3" formatCode="#,##0">
                  <c:v>1661</c:v>
                </c:pt>
                <c:pt idx="4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A-0C41-B221-85906C38F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Kolkata</a:t>
            </a:r>
            <a:r>
              <a:rPr lang="en-GB" b="1" baseline="0"/>
              <a:t> Expenditure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7-C442-995C-7FEDC6BCBB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4F7-C442-995C-7FEDC6BCBB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F7-C442-995C-7FEDC6BCBB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F7-C442-995C-7FEDC6BCBB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7-C442-995C-7FEDC6BCBB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F7-C442-995C-7FEDC6BCBB17}"/>
              </c:ext>
            </c:extLst>
          </c:dPt>
          <c:dLbls>
            <c:dLbl>
              <c:idx val="0"/>
              <c:layout>
                <c:manualLayout>
                  <c:x val="8.6111111111111013E-2"/>
                  <c:y val="-5.0925925925925923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F7-C442-995C-7FEDC6BCBB17}"/>
                </c:ext>
              </c:extLst>
            </c:dLbl>
            <c:dLbl>
              <c:idx val="1"/>
              <c:layout>
                <c:manualLayout>
                  <c:x val="0.11831275720164609"/>
                  <c:y val="1.190476190476190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F7-C442-995C-7FEDC6BCBB17}"/>
                </c:ext>
              </c:extLst>
            </c:dLbl>
            <c:dLbl>
              <c:idx val="2"/>
              <c:layout>
                <c:manualLayout>
                  <c:x val="-7.5000000000000053E-2"/>
                  <c:y val="0.10185185185185176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F7-C442-995C-7FEDC6BCBB17}"/>
                </c:ext>
              </c:extLst>
            </c:dLbl>
            <c:dLbl>
              <c:idx val="3"/>
              <c:layout>
                <c:manualLayout>
                  <c:x val="-0.16388888888888892"/>
                  <c:y val="6.944444444444436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F7-C442-995C-7FEDC6BCBB17}"/>
                </c:ext>
              </c:extLst>
            </c:dLbl>
            <c:dLbl>
              <c:idx val="4"/>
              <c:layout>
                <c:manualLayout>
                  <c:x val="-0.13055555555555562"/>
                  <c:y val="-8.4875562720133283E-17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F7-C442-995C-7FEDC6BCBB17}"/>
                </c:ext>
              </c:extLst>
            </c:dLbl>
            <c:dLbl>
              <c:idx val="5"/>
              <c:layout>
                <c:manualLayout>
                  <c:x val="-0.14444444444444449"/>
                  <c:y val="-7.8703703703703706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F7-C442-995C-7FEDC6BCBB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('Kolkata '!$A$17:$A$21,'Kolkata '!$A$25)</c:f>
              <c:strCache>
                <c:ptCount val="6"/>
                <c:pt idx="0">
                  <c:v>Establishment Expenses</c:v>
                </c:pt>
                <c:pt idx="1">
                  <c:v>Administrative Expenses</c:v>
                </c:pt>
                <c:pt idx="2">
                  <c:v>Operation &amp; Maintenance</c:v>
                </c:pt>
                <c:pt idx="3">
                  <c:v>Interest &amp; Finance Charges</c:v>
                </c:pt>
                <c:pt idx="4">
                  <c:v>Programme Expenses</c:v>
                </c:pt>
                <c:pt idx="5">
                  <c:v>Depreciation on Fixed Assets</c:v>
                </c:pt>
              </c:strCache>
            </c:strRef>
          </c:cat>
          <c:val>
            <c:numRef>
              <c:f>('Kolkata '!$B$17:$B$21,'Kolkata '!$B$25)</c:f>
              <c:numCache>
                <c:formatCode>#,##0</c:formatCode>
                <c:ptCount val="6"/>
                <c:pt idx="0" formatCode="General">
                  <c:v>988</c:v>
                </c:pt>
                <c:pt idx="1">
                  <c:v>1781</c:v>
                </c:pt>
                <c:pt idx="2" formatCode="General">
                  <c:v>461</c:v>
                </c:pt>
                <c:pt idx="3" formatCode="General">
                  <c:v>109</c:v>
                </c:pt>
                <c:pt idx="4" formatCode="General">
                  <c:v>194</c:v>
                </c:pt>
                <c:pt idx="5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7-C442-995C-7FEDC6BCB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Pune</a:t>
            </a:r>
            <a:r>
              <a:rPr lang="en-GB" b="1" baseline="0"/>
              <a:t> Municipal Corporation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Pune!$J$1</c:f>
              <c:strCache>
                <c:ptCount val="1"/>
                <c:pt idx="0">
                  <c:v>Total Revenue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Pune!$I$2:$I$5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Pune!$J$2:$J$5</c:f>
              <c:numCache>
                <c:formatCode>#,##0</c:formatCode>
                <c:ptCount val="4"/>
                <c:pt idx="0">
                  <c:v>5939</c:v>
                </c:pt>
                <c:pt idx="1">
                  <c:v>6733</c:v>
                </c:pt>
                <c:pt idx="2">
                  <c:v>8563</c:v>
                </c:pt>
                <c:pt idx="3">
                  <c:v>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9-6A43-B025-F7AE4BF9A6F2}"/>
            </c:ext>
          </c:extLst>
        </c:ser>
        <c:ser>
          <c:idx val="1"/>
          <c:order val="1"/>
          <c:tx>
            <c:strRef>
              <c:f>Pune!$K$1</c:f>
              <c:strCache>
                <c:ptCount val="1"/>
                <c:pt idx="0">
                  <c:v>Total Expenditure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Pune!$I$2:$I$5</c:f>
              <c:strCache>
                <c:ptCount val="4"/>
                <c:pt idx="0">
                  <c:v>2019–20</c:v>
                </c:pt>
                <c:pt idx="1">
                  <c:v>2020–21</c:v>
                </c:pt>
                <c:pt idx="2">
                  <c:v>2021–22</c:v>
                </c:pt>
                <c:pt idx="3">
                  <c:v>2022–23</c:v>
                </c:pt>
              </c:strCache>
            </c:strRef>
          </c:cat>
          <c:val>
            <c:numRef>
              <c:f>Pune!$K$2:$K$5</c:f>
              <c:numCache>
                <c:formatCode>#,##0</c:formatCode>
                <c:ptCount val="4"/>
                <c:pt idx="0">
                  <c:v>5098</c:v>
                </c:pt>
                <c:pt idx="1">
                  <c:v>5443</c:v>
                </c:pt>
                <c:pt idx="2">
                  <c:v>7155</c:v>
                </c:pt>
                <c:pt idx="3">
                  <c:v>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9-6A43-B025-F7AE4BF9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5983"/>
        <c:axId val="921846207"/>
      </c:barChart>
      <c:catAx>
        <c:axId val="20391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46207"/>
        <c:crosses val="autoZero"/>
        <c:auto val="1"/>
        <c:lblAlgn val="ctr"/>
        <c:lblOffset val="100"/>
        <c:noMultiLvlLbl val="0"/>
      </c:catAx>
      <c:valAx>
        <c:axId val="9218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Pune</a:t>
            </a:r>
            <a:r>
              <a:rPr lang="en-GB" b="1" baseline="0"/>
              <a:t> Revenue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8-654C-B9E0-A19235006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98-654C-B9E0-A19235006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8-654C-B9E0-A19235006A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8-654C-B9E0-A19235006A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98-654C-B9E0-A19235006AA1}"/>
              </c:ext>
            </c:extLst>
          </c:dPt>
          <c:dLbls>
            <c:dLbl>
              <c:idx val="0"/>
              <c:layout>
                <c:manualLayout>
                  <c:x val="0.13154689403166878"/>
                  <c:y val="9.2592592592592587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98-654C-B9E0-A19235006AA1}"/>
                </c:ext>
              </c:extLst>
            </c:dLbl>
            <c:dLbl>
              <c:idx val="1"/>
              <c:layout>
                <c:manualLayout>
                  <c:x val="-5.1157125456760093E-2"/>
                  <c:y val="0.14814814814814814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98-654C-B9E0-A19235006AA1}"/>
                </c:ext>
              </c:extLst>
            </c:dLbl>
            <c:dLbl>
              <c:idx val="2"/>
              <c:layout>
                <c:manualLayout>
                  <c:x val="-0.12667478684531064"/>
                  <c:y val="-2.3148148148148147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98-654C-B9E0-A19235006AA1}"/>
                </c:ext>
              </c:extLst>
            </c:dLbl>
            <c:dLbl>
              <c:idx val="3"/>
              <c:layout>
                <c:manualLayout>
                  <c:x val="-0.11557434279302176"/>
                  <c:y val="-0.111111111111111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63815013379115E-2"/>
                      <c:h val="6.6666666666666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098-654C-B9E0-A19235006AA1}"/>
                </c:ext>
              </c:extLst>
            </c:dLbl>
            <c:dLbl>
              <c:idx val="4"/>
              <c:layout>
                <c:manualLayout>
                  <c:x val="-2.4360535931790498E-3"/>
                  <c:y val="-0.125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98-654C-B9E0-A19235006A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(Pune!$A$4:$A$5,Pune!$A$7,Pune!$A$9,Pune!$A$11)</c:f>
              <c:strCache>
                <c:ptCount val="5"/>
                <c:pt idx="0">
                  <c:v>Tax Revenue</c:v>
                </c:pt>
                <c:pt idx="1">
                  <c:v>Assigned Revenues &amp; Compensation</c:v>
                </c:pt>
                <c:pt idx="2">
                  <c:v>Fee &amp; User Charges</c:v>
                </c:pt>
                <c:pt idx="3">
                  <c:v>Revenue Grants, Contributions &amp; Subsidies</c:v>
                </c:pt>
                <c:pt idx="4">
                  <c:v>Interest earned</c:v>
                </c:pt>
              </c:strCache>
            </c:strRef>
          </c:cat>
          <c:val>
            <c:numRef>
              <c:f>(Pune!$B$4:$B$5,Pune!$B$7,Pune!$B$9,Pune!$B$11)</c:f>
              <c:numCache>
                <c:formatCode>#,##0</c:formatCode>
                <c:ptCount val="5"/>
                <c:pt idx="0">
                  <c:v>4043</c:v>
                </c:pt>
                <c:pt idx="1">
                  <c:v>2539</c:v>
                </c:pt>
                <c:pt idx="2">
                  <c:v>2042</c:v>
                </c:pt>
                <c:pt idx="3" formatCode="General">
                  <c:v>421</c:v>
                </c:pt>
                <c:pt idx="4" formatCode="General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8-654C-B9E0-A1923500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8936044011447"/>
          <c:y val="0.76074064960629917"/>
          <c:w val="0.80768606254726638"/>
          <c:h val="0.21321768372703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Pune</a:t>
            </a:r>
            <a:r>
              <a:rPr lang="en-GB" b="1" baseline="0"/>
              <a:t> Expenditure Mix 2022-2023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DA-AA4C-893A-C7DDB833A3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DA-AA4C-893A-C7DDB833A3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6DA-AA4C-893A-C7DDB833A3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6DA-AA4C-893A-C7DDB833A3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DA-AA4C-893A-C7DDB833A3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DA-AA4C-893A-C7DDB833A33B}"/>
              </c:ext>
            </c:extLst>
          </c:dPt>
          <c:dLbls>
            <c:dLbl>
              <c:idx val="0"/>
              <c:layout>
                <c:manualLayout>
                  <c:x val="8.6549707602339182E-2"/>
                  <c:y val="-5.555555555555559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DA-AA4C-893A-C7DDB833A33B}"/>
                </c:ext>
              </c:extLst>
            </c:dLbl>
            <c:dLbl>
              <c:idx val="1"/>
              <c:layout>
                <c:manualLayout>
                  <c:x val="9.5906432748537926E-2"/>
                  <c:y val="7.1428571428571355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DA-AA4C-893A-C7DDB833A33B}"/>
                </c:ext>
              </c:extLst>
            </c:dLbl>
            <c:dLbl>
              <c:idx val="2"/>
              <c:layout>
                <c:manualLayout>
                  <c:x val="2.3391812865497075E-2"/>
                  <c:y val="0.11904761904761904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DA-AA4C-893A-C7DDB833A33B}"/>
                </c:ext>
              </c:extLst>
            </c:dLbl>
            <c:dLbl>
              <c:idx val="3"/>
              <c:layout>
                <c:manualLayout>
                  <c:x val="-0.13333333333333333"/>
                  <c:y val="8.3333333333333329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DA-AA4C-893A-C7DDB833A33B}"/>
                </c:ext>
              </c:extLst>
            </c:dLbl>
            <c:dLbl>
              <c:idx val="4"/>
              <c:layout>
                <c:manualLayout>
                  <c:x val="-0.13333333333333333"/>
                  <c:y val="3.968253968253968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DA-AA4C-893A-C7DDB833A33B}"/>
                </c:ext>
              </c:extLst>
            </c:dLbl>
            <c:dLbl>
              <c:idx val="5"/>
              <c:layout>
                <c:manualLayout>
                  <c:x val="-0.10292397660818718"/>
                  <c:y val="-6.7460317460317457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DA-AA4C-893A-C7DDB833A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(Pune!$A$16:$A$18,Pune!$A$21:$A$22,Pune!$A$24)</c:f>
              <c:strCache>
                <c:ptCount val="6"/>
                <c:pt idx="0">
                  <c:v>Establishment Expenses</c:v>
                </c:pt>
                <c:pt idx="1">
                  <c:v>Administrative Expenses</c:v>
                </c:pt>
                <c:pt idx="2">
                  <c:v>Operation &amp; Maintenance</c:v>
                </c:pt>
                <c:pt idx="3">
                  <c:v>Revenue Grants, Contributions &amp; Subsidies (Exp)</c:v>
                </c:pt>
                <c:pt idx="4">
                  <c:v>Provisions and Write Off</c:v>
                </c:pt>
                <c:pt idx="5">
                  <c:v>Depreciation on Fixed Assets</c:v>
                </c:pt>
              </c:strCache>
            </c:strRef>
          </c:cat>
          <c:val>
            <c:numRef>
              <c:f>(Pune!$B$16:$B$18,Pune!$B$21:$B$22,Pune!$B$24)</c:f>
              <c:numCache>
                <c:formatCode>General</c:formatCode>
                <c:ptCount val="6"/>
                <c:pt idx="0" formatCode="#,##0">
                  <c:v>2833</c:v>
                </c:pt>
                <c:pt idx="1">
                  <c:v>369</c:v>
                </c:pt>
                <c:pt idx="2" formatCode="#,##0">
                  <c:v>1015</c:v>
                </c:pt>
                <c:pt idx="3">
                  <c:v>636</c:v>
                </c:pt>
                <c:pt idx="4" formatCode="#,##0">
                  <c:v>1325</c:v>
                </c:pt>
                <c:pt idx="5" formatCode="#,##0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A-AA4C-893A-C7DDB833A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7</xdr:row>
      <xdr:rowOff>184150</xdr:rowOff>
    </xdr:from>
    <xdr:to>
      <xdr:col>11</xdr:col>
      <xdr:colOff>1016000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309C8-CF42-5AB4-2201-D26842BA2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584200</xdr:colOff>
      <xdr:row>17</xdr:row>
      <xdr:rowOff>476247</xdr:rowOff>
    </xdr:from>
    <xdr:to>
      <xdr:col>12</xdr:col>
      <xdr:colOff>190499</xdr:colOff>
      <xdr:row>24</xdr:row>
      <xdr:rowOff>239181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0724CA-0E5E-9F19-8414-6DCDFCD84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628650</xdr:colOff>
      <xdr:row>24</xdr:row>
      <xdr:rowOff>514349</xdr:rowOff>
    </xdr:from>
    <xdr:to>
      <xdr:col>12</xdr:col>
      <xdr:colOff>304800</xdr:colOff>
      <xdr:row>33</xdr:row>
      <xdr:rowOff>97481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2E2712-9F26-73F1-E97E-51A03DC5E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6</xdr:row>
      <xdr:rowOff>222250</xdr:rowOff>
    </xdr:from>
    <xdr:to>
      <xdr:col>11</xdr:col>
      <xdr:colOff>381000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37154-142D-A4E1-F2BA-327B0EC20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374650</xdr:colOff>
      <xdr:row>20</xdr:row>
      <xdr:rowOff>120650</xdr:rowOff>
    </xdr:from>
    <xdr:to>
      <xdr:col>11</xdr:col>
      <xdr:colOff>355600</xdr:colOff>
      <xdr:row>28</xdr:row>
      <xdr:rowOff>491489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5BBC4-AEB5-1397-7445-F52EBC507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222250</xdr:colOff>
      <xdr:row>28</xdr:row>
      <xdr:rowOff>730248</xdr:rowOff>
    </xdr:from>
    <xdr:to>
      <xdr:col>11</xdr:col>
      <xdr:colOff>457200</xdr:colOff>
      <xdr:row>44</xdr:row>
      <xdr:rowOff>82317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A18253-B5B9-49AE-4571-2C3D0886D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6</xdr:row>
      <xdr:rowOff>336550</xdr:rowOff>
    </xdr:from>
    <xdr:to>
      <xdr:col>11</xdr:col>
      <xdr:colOff>381000</xdr:colOff>
      <xdr:row>14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225BB-13A4-77D1-2FB1-AABE2CD92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78607</xdr:colOff>
      <xdr:row>15</xdr:row>
      <xdr:rowOff>142547</xdr:rowOff>
    </xdr:from>
    <xdr:to>
      <xdr:col>11</xdr:col>
      <xdr:colOff>571500</xdr:colOff>
      <xdr:row>21</xdr:row>
      <xdr:rowOff>215900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39833-09B3-A0E3-DFE0-BCADA1062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120650</xdr:colOff>
      <xdr:row>21</xdr:row>
      <xdr:rowOff>387350</xdr:rowOff>
    </xdr:from>
    <xdr:to>
      <xdr:col>11</xdr:col>
      <xdr:colOff>546100</xdr:colOff>
      <xdr:row>25</xdr:row>
      <xdr:rowOff>1663700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C9BE5B-1805-CE2D-6FE6-8960DC48F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7</xdr:row>
      <xdr:rowOff>95250</xdr:rowOff>
    </xdr:from>
    <xdr:to>
      <xdr:col>12</xdr:col>
      <xdr:colOff>558800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E628D-AFF2-3D99-44CA-88A05AC2F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17</xdr:row>
      <xdr:rowOff>209549</xdr:rowOff>
    </xdr:from>
    <xdr:to>
      <xdr:col>12</xdr:col>
      <xdr:colOff>571500</xdr:colOff>
      <xdr:row>26</xdr:row>
      <xdr:rowOff>222249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CA03F-E188-7250-EDF4-C7869A0EA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27</xdr:row>
      <xdr:rowOff>400050</xdr:rowOff>
    </xdr:from>
    <xdr:to>
      <xdr:col>12</xdr:col>
      <xdr:colOff>571500</xdr:colOff>
      <xdr:row>31</xdr:row>
      <xdr:rowOff>266700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8268F2-0FD8-F8C5-3DC9-75C5032A2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6</xdr:row>
      <xdr:rowOff>44450</xdr:rowOff>
    </xdr:from>
    <xdr:to>
      <xdr:col>11</xdr:col>
      <xdr:colOff>431800</xdr:colOff>
      <xdr:row>18</xdr:row>
      <xdr:rowOff>215900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47936-8949-AB2A-87DC-70D08652A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260350</xdr:colOff>
      <xdr:row>20</xdr:row>
      <xdr:rowOff>107950</xdr:rowOff>
    </xdr:from>
    <xdr:to>
      <xdr:col>11</xdr:col>
      <xdr:colOff>664210</xdr:colOff>
      <xdr:row>26</xdr:row>
      <xdr:rowOff>862330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D83F3-930F-94A6-3359-8DFDF707B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260350</xdr:colOff>
      <xdr:row>27</xdr:row>
      <xdr:rowOff>120650</xdr:rowOff>
    </xdr:from>
    <xdr:to>
      <xdr:col>11</xdr:col>
      <xdr:colOff>698500</xdr:colOff>
      <xdr:row>37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6C2E2-84A9-3503-779E-C2E690A21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EF8A-3495-BA4B-A700-2FBF2687CA23}">
  <dimension ref="A2:T33"/>
  <sheetViews>
    <sheetView zoomScale="75" zoomScaleNormal="100" workbookViewId="0">
      <selection activeCell="T8" sqref="P6:T8"/>
    </sheetView>
  </sheetViews>
  <sheetFormatPr baseColWidth="10" defaultRowHeight="16" x14ac:dyDescent="0.2"/>
  <cols>
    <col min="1" max="1" width="32" customWidth="1"/>
    <col min="2" max="2" width="24.83203125" customWidth="1"/>
    <col min="3" max="3" width="25" customWidth="1"/>
    <col min="4" max="4" width="25.6640625" customWidth="1"/>
    <col min="5" max="5" width="20.6640625" customWidth="1"/>
    <col min="9" max="9" width="14.83203125" customWidth="1"/>
    <col min="10" max="10" width="15.1640625" customWidth="1"/>
    <col min="11" max="11" width="17.1640625" customWidth="1"/>
    <col min="12" max="12" width="15.1640625" customWidth="1"/>
  </cols>
  <sheetData>
    <row r="2" spans="1:20" s="2" customFormat="1" ht="6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I2" s="8" t="s">
        <v>39</v>
      </c>
      <c r="J2" s="8" t="s">
        <v>40</v>
      </c>
      <c r="K2" s="8" t="s">
        <v>41</v>
      </c>
      <c r="L2" s="8" t="s">
        <v>42</v>
      </c>
    </row>
    <row r="3" spans="1:20" ht="38" x14ac:dyDescent="0.2">
      <c r="A3" s="1"/>
      <c r="B3" s="1" t="s">
        <v>5</v>
      </c>
      <c r="C3" s="1" t="s">
        <v>5</v>
      </c>
      <c r="D3" s="1" t="s">
        <v>5</v>
      </c>
      <c r="E3" s="1" t="s">
        <v>5</v>
      </c>
      <c r="I3" s="8" t="s">
        <v>43</v>
      </c>
      <c r="J3" s="8" t="s">
        <v>44</v>
      </c>
      <c r="K3" s="9">
        <v>2837</v>
      </c>
      <c r="L3" s="9">
        <v>2836</v>
      </c>
    </row>
    <row r="4" spans="1:20" ht="20" x14ac:dyDescent="0.2">
      <c r="A4" s="1" t="s">
        <v>6</v>
      </c>
      <c r="B4" s="1"/>
      <c r="C4" s="1"/>
      <c r="D4" s="1"/>
      <c r="E4" s="1"/>
      <c r="I4" s="8" t="s">
        <v>43</v>
      </c>
      <c r="J4" s="8" t="s">
        <v>45</v>
      </c>
      <c r="K4" s="9">
        <v>2786</v>
      </c>
      <c r="L4" s="9">
        <v>3025</v>
      </c>
    </row>
    <row r="5" spans="1:20" ht="20" x14ac:dyDescent="0.2">
      <c r="A5" s="3" t="s">
        <v>7</v>
      </c>
      <c r="B5" s="3">
        <v>934</v>
      </c>
      <c r="C5" s="3">
        <v>539</v>
      </c>
      <c r="D5" s="4">
        <v>1240</v>
      </c>
      <c r="E5" s="4">
        <v>1259</v>
      </c>
      <c r="I5" s="8" t="s">
        <v>43</v>
      </c>
      <c r="J5" s="8" t="s">
        <v>46</v>
      </c>
      <c r="K5" s="9">
        <v>3313</v>
      </c>
      <c r="L5" s="9">
        <v>3479</v>
      </c>
    </row>
    <row r="6" spans="1:20" ht="38" x14ac:dyDescent="0.2">
      <c r="A6" s="3" t="s">
        <v>8</v>
      </c>
      <c r="B6" s="3">
        <v>774</v>
      </c>
      <c r="C6" s="3">
        <v>724</v>
      </c>
      <c r="D6" s="3" t="s">
        <v>9</v>
      </c>
      <c r="E6" s="3">
        <v>723</v>
      </c>
      <c r="I6" s="8" t="s">
        <v>43</v>
      </c>
      <c r="J6" s="8" t="s">
        <v>47</v>
      </c>
      <c r="K6" s="9">
        <v>3538</v>
      </c>
      <c r="L6" s="9">
        <v>3852</v>
      </c>
      <c r="Q6" t="s">
        <v>55</v>
      </c>
      <c r="R6" t="s">
        <v>58</v>
      </c>
      <c r="S6" t="s">
        <v>57</v>
      </c>
      <c r="T6" t="s">
        <v>56</v>
      </c>
    </row>
    <row r="7" spans="1:20" ht="38" x14ac:dyDescent="0.2">
      <c r="A7" s="3" t="s">
        <v>10</v>
      </c>
      <c r="B7" s="3">
        <v>31</v>
      </c>
      <c r="C7" s="3">
        <v>23</v>
      </c>
      <c r="D7" s="3">
        <v>21</v>
      </c>
      <c r="E7" s="3">
        <v>19</v>
      </c>
      <c r="P7" s="2" t="s">
        <v>54</v>
      </c>
      <c r="Q7" s="12">
        <f>B15-B6-B10</f>
        <v>2626</v>
      </c>
      <c r="R7" s="11">
        <f>C15-C6-C10</f>
        <v>2228</v>
      </c>
      <c r="S7" s="11">
        <f>D15-D10</f>
        <v>2452</v>
      </c>
      <c r="T7" s="11">
        <f>E15-E6-E10</f>
        <v>1995</v>
      </c>
    </row>
    <row r="8" spans="1:20" ht="38" x14ac:dyDescent="0.2">
      <c r="A8" s="3" t="s">
        <v>11</v>
      </c>
      <c r="B8" s="4">
        <v>1554</v>
      </c>
      <c r="C8" s="4">
        <v>1564</v>
      </c>
      <c r="D8" s="3">
        <v>386</v>
      </c>
      <c r="E8" s="3">
        <v>610</v>
      </c>
      <c r="P8" t="s">
        <v>53</v>
      </c>
      <c r="Q8">
        <f>Q7/B15 * 100</f>
        <v>74.22272470322217</v>
      </c>
      <c r="R8">
        <f>R7/C15 * 100</f>
        <v>67.250226380923635</v>
      </c>
      <c r="S8">
        <f>S7/D15 *100</f>
        <v>88.011486001435742</v>
      </c>
      <c r="T8">
        <f>T7/E15 *100</f>
        <v>70.320761367641865</v>
      </c>
    </row>
    <row r="9" spans="1:20" ht="38" x14ac:dyDescent="0.2">
      <c r="A9" s="3" t="s">
        <v>12</v>
      </c>
      <c r="B9" s="3">
        <v>11</v>
      </c>
      <c r="C9" s="3">
        <v>5</v>
      </c>
      <c r="D9" s="3">
        <v>4</v>
      </c>
      <c r="E9" s="3">
        <v>3</v>
      </c>
    </row>
    <row r="10" spans="1:20" ht="76" x14ac:dyDescent="0.2">
      <c r="A10" s="3" t="s">
        <v>13</v>
      </c>
      <c r="B10" s="3">
        <v>138</v>
      </c>
      <c r="C10" s="3">
        <v>361</v>
      </c>
      <c r="D10" s="3">
        <v>334</v>
      </c>
      <c r="E10" s="3">
        <v>119</v>
      </c>
    </row>
    <row r="11" spans="1:20" ht="38" x14ac:dyDescent="0.2">
      <c r="A11" s="3" t="s">
        <v>14</v>
      </c>
      <c r="B11" s="3">
        <v>16</v>
      </c>
      <c r="C11" s="3">
        <v>16</v>
      </c>
      <c r="D11" s="3">
        <v>28</v>
      </c>
      <c r="E11" s="3">
        <v>50</v>
      </c>
    </row>
    <row r="12" spans="1:20" ht="19" x14ac:dyDescent="0.2">
      <c r="A12" s="3" t="s">
        <v>15</v>
      </c>
      <c r="B12" s="3">
        <v>57</v>
      </c>
      <c r="C12" s="3">
        <v>33</v>
      </c>
      <c r="D12" s="3">
        <v>37</v>
      </c>
      <c r="E12" s="3">
        <v>35</v>
      </c>
    </row>
    <row r="13" spans="1:20" ht="19" x14ac:dyDescent="0.2">
      <c r="A13" s="3" t="s">
        <v>16</v>
      </c>
      <c r="B13" s="3">
        <v>23</v>
      </c>
      <c r="C13" s="3">
        <v>48</v>
      </c>
      <c r="D13" s="3">
        <v>736</v>
      </c>
      <c r="E13" s="3">
        <v>19</v>
      </c>
    </row>
    <row r="14" spans="1:20" ht="19" x14ac:dyDescent="0.2">
      <c r="A14" s="3" t="s">
        <v>17</v>
      </c>
      <c r="B14" s="3" t="s">
        <v>9</v>
      </c>
      <c r="C14" s="3" t="s">
        <v>9</v>
      </c>
      <c r="D14" s="3" t="s">
        <v>9</v>
      </c>
      <c r="E14" s="3" t="s">
        <v>9</v>
      </c>
    </row>
    <row r="15" spans="1:20" ht="19" x14ac:dyDescent="0.2">
      <c r="A15" s="1" t="s">
        <v>18</v>
      </c>
      <c r="B15" s="5">
        <v>3538</v>
      </c>
      <c r="C15" s="5">
        <v>3313</v>
      </c>
      <c r="D15" s="5">
        <v>2786</v>
      </c>
      <c r="E15" s="5">
        <v>2837</v>
      </c>
    </row>
    <row r="16" spans="1:20" ht="19" x14ac:dyDescent="0.2">
      <c r="A16" s="1" t="s">
        <v>19</v>
      </c>
      <c r="B16" s="1"/>
      <c r="C16" s="1"/>
      <c r="D16" s="1"/>
      <c r="E16" s="1"/>
    </row>
    <row r="17" spans="1:5" ht="38" x14ac:dyDescent="0.2">
      <c r="A17" s="3" t="s">
        <v>20</v>
      </c>
      <c r="B17" s="4">
        <v>1743</v>
      </c>
      <c r="C17" s="4">
        <v>1609</v>
      </c>
      <c r="D17" s="4">
        <v>1549</v>
      </c>
      <c r="E17" s="4">
        <v>1461</v>
      </c>
    </row>
    <row r="18" spans="1:5" ht="38" x14ac:dyDescent="0.2">
      <c r="A18" s="3" t="s">
        <v>21</v>
      </c>
      <c r="B18" s="3">
        <v>462</v>
      </c>
      <c r="C18" s="3">
        <v>513</v>
      </c>
      <c r="D18" s="3">
        <v>443</v>
      </c>
      <c r="E18" s="3">
        <v>319</v>
      </c>
    </row>
    <row r="19" spans="1:5" ht="38" x14ac:dyDescent="0.2">
      <c r="A19" s="3" t="s">
        <v>22</v>
      </c>
      <c r="B19" s="3">
        <v>402</v>
      </c>
      <c r="C19" s="3">
        <v>545</v>
      </c>
      <c r="D19" s="3">
        <v>492</v>
      </c>
      <c r="E19" s="3">
        <v>573</v>
      </c>
    </row>
    <row r="20" spans="1:5" ht="57" x14ac:dyDescent="0.2">
      <c r="A20" s="3" t="s">
        <v>23</v>
      </c>
      <c r="B20" s="3">
        <v>30</v>
      </c>
      <c r="C20" s="3">
        <v>51</v>
      </c>
      <c r="D20" s="3">
        <v>43</v>
      </c>
      <c r="E20" s="3">
        <v>28</v>
      </c>
    </row>
    <row r="21" spans="1:5" ht="38" x14ac:dyDescent="0.2">
      <c r="A21" s="3" t="s">
        <v>24</v>
      </c>
      <c r="B21" s="3">
        <v>1</v>
      </c>
      <c r="C21" s="3">
        <v>2</v>
      </c>
      <c r="D21" s="3" t="s">
        <v>9</v>
      </c>
      <c r="E21" s="3" t="s">
        <v>9</v>
      </c>
    </row>
    <row r="22" spans="1:5" ht="95" x14ac:dyDescent="0.2">
      <c r="A22" s="3" t="s">
        <v>25</v>
      </c>
      <c r="B22" s="3">
        <v>156</v>
      </c>
      <c r="C22" s="3">
        <v>115</v>
      </c>
      <c r="D22" s="3" t="s">
        <v>9</v>
      </c>
      <c r="E22" s="3" t="s">
        <v>9</v>
      </c>
    </row>
    <row r="23" spans="1:5" ht="38" x14ac:dyDescent="0.2">
      <c r="A23" s="3" t="s">
        <v>26</v>
      </c>
      <c r="B23" s="3" t="s">
        <v>9</v>
      </c>
      <c r="C23" s="3" t="s">
        <v>9</v>
      </c>
      <c r="D23" s="3" t="s">
        <v>9</v>
      </c>
      <c r="E23" s="3" t="s">
        <v>9</v>
      </c>
    </row>
    <row r="24" spans="1:5" ht="38" x14ac:dyDescent="0.2">
      <c r="A24" s="3" t="s">
        <v>27</v>
      </c>
      <c r="B24" s="3">
        <v>353</v>
      </c>
      <c r="C24" s="3" t="s">
        <v>9</v>
      </c>
      <c r="D24" s="3" t="s">
        <v>9</v>
      </c>
      <c r="E24" s="3" t="s">
        <v>9</v>
      </c>
    </row>
    <row r="25" spans="1:5" ht="57" x14ac:dyDescent="0.2">
      <c r="A25" s="3" t="s">
        <v>28</v>
      </c>
      <c r="B25" s="3">
        <v>705</v>
      </c>
      <c r="C25" s="3">
        <v>643</v>
      </c>
      <c r="D25" s="3">
        <v>497</v>
      </c>
      <c r="E25" s="3">
        <v>455</v>
      </c>
    </row>
    <row r="26" spans="1:5" ht="19" x14ac:dyDescent="0.2">
      <c r="A26" s="3" t="s">
        <v>17</v>
      </c>
      <c r="B26" s="3" t="s">
        <v>9</v>
      </c>
      <c r="C26" s="3" t="s">
        <v>9</v>
      </c>
      <c r="D26" s="3" t="s">
        <v>9</v>
      </c>
      <c r="E26" s="3" t="s">
        <v>9</v>
      </c>
    </row>
    <row r="27" spans="1:5" ht="19" x14ac:dyDescent="0.2">
      <c r="A27" s="1" t="s">
        <v>29</v>
      </c>
      <c r="B27" s="5">
        <v>3852</v>
      </c>
      <c r="C27" s="5">
        <v>3479</v>
      </c>
      <c r="D27" s="5">
        <v>3025</v>
      </c>
      <c r="E27" s="5">
        <v>2836</v>
      </c>
    </row>
    <row r="28" spans="1:5" ht="76" x14ac:dyDescent="0.2">
      <c r="A28" s="1" t="s">
        <v>30</v>
      </c>
      <c r="B28" s="1">
        <v>-314</v>
      </c>
      <c r="C28" s="1">
        <v>-166</v>
      </c>
      <c r="D28" s="1">
        <v>-239</v>
      </c>
      <c r="E28" s="1">
        <v>1</v>
      </c>
    </row>
    <row r="29" spans="1:5" ht="19" x14ac:dyDescent="0.2">
      <c r="A29" s="3" t="s">
        <v>31</v>
      </c>
      <c r="B29" s="3">
        <v>41</v>
      </c>
      <c r="C29" s="3">
        <v>-36</v>
      </c>
      <c r="D29" s="3">
        <v>-99</v>
      </c>
      <c r="E29" s="3">
        <v>46</v>
      </c>
    </row>
    <row r="30" spans="1:5" ht="76" x14ac:dyDescent="0.2">
      <c r="A30" s="1" t="s">
        <v>32</v>
      </c>
      <c r="B30" s="1">
        <v>-274</v>
      </c>
      <c r="C30" s="1">
        <v>-201</v>
      </c>
      <c r="D30" s="1">
        <v>-339</v>
      </c>
      <c r="E30" s="1">
        <v>47</v>
      </c>
    </row>
    <row r="31" spans="1:5" ht="19" x14ac:dyDescent="0.2">
      <c r="A31" s="3" t="s">
        <v>33</v>
      </c>
      <c r="B31" s="3" t="s">
        <v>9</v>
      </c>
      <c r="C31" s="3" t="s">
        <v>9</v>
      </c>
      <c r="D31" s="3" t="s">
        <v>9</v>
      </c>
      <c r="E31" s="3" t="s">
        <v>9</v>
      </c>
    </row>
    <row r="32" spans="1:5" ht="38" x14ac:dyDescent="0.2">
      <c r="A32" s="1" t="s">
        <v>34</v>
      </c>
      <c r="B32" s="1">
        <v>-274</v>
      </c>
      <c r="C32" s="1">
        <v>-201</v>
      </c>
      <c r="D32" s="1">
        <v>-339</v>
      </c>
      <c r="E32" s="1">
        <v>47</v>
      </c>
    </row>
    <row r="33" spans="1:5" x14ac:dyDescent="0.2">
      <c r="A33" s="2"/>
      <c r="B33" s="2"/>
      <c r="C33" s="2"/>
      <c r="D33" s="2"/>
      <c r="E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C336-6D0C-B349-8A26-8343A1CD2148}">
  <dimension ref="A1:R31"/>
  <sheetViews>
    <sheetView topLeftCell="B1" zoomScale="83" workbookViewId="0">
      <selection activeCell="N5" sqref="N5:R7"/>
    </sheetView>
  </sheetViews>
  <sheetFormatPr baseColWidth="10" defaultRowHeight="16" x14ac:dyDescent="0.2"/>
  <cols>
    <col min="1" max="1" width="46.33203125" customWidth="1"/>
    <col min="2" max="2" width="30" customWidth="1"/>
    <col min="3" max="3" width="33.5" customWidth="1"/>
    <col min="4" max="4" width="24.33203125" customWidth="1"/>
    <col min="5" max="5" width="26" customWidth="1"/>
    <col min="8" max="8" width="17.83203125" customWidth="1"/>
    <col min="10" max="11" width="17.83203125" customWidth="1"/>
  </cols>
  <sheetData>
    <row r="1" spans="1:18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8" t="s">
        <v>39</v>
      </c>
      <c r="I1" s="8" t="s">
        <v>40</v>
      </c>
      <c r="J1" s="8" t="s">
        <v>41</v>
      </c>
      <c r="K1" s="8" t="s">
        <v>42</v>
      </c>
    </row>
    <row r="2" spans="1:18" ht="38" x14ac:dyDescent="0.2">
      <c r="A2" s="1"/>
      <c r="B2" s="1" t="s">
        <v>35</v>
      </c>
      <c r="C2" s="1" t="s">
        <v>35</v>
      </c>
      <c r="D2" s="1" t="s">
        <v>35</v>
      </c>
      <c r="E2" s="1" t="s">
        <v>35</v>
      </c>
      <c r="H2" s="10" t="s">
        <v>52</v>
      </c>
      <c r="I2" s="8" t="s">
        <v>44</v>
      </c>
      <c r="J2" s="9">
        <v>4395</v>
      </c>
      <c r="K2" s="9">
        <v>3737</v>
      </c>
    </row>
    <row r="3" spans="1:18" ht="20" x14ac:dyDescent="0.2">
      <c r="A3" s="1" t="s">
        <v>6</v>
      </c>
      <c r="B3" s="1"/>
      <c r="C3" s="1"/>
      <c r="D3" s="1"/>
      <c r="E3" s="1"/>
      <c r="H3" s="8" t="s">
        <v>52</v>
      </c>
      <c r="I3" s="8" t="s">
        <v>45</v>
      </c>
      <c r="J3" s="9">
        <v>5203</v>
      </c>
      <c r="K3" s="9">
        <v>4558</v>
      </c>
    </row>
    <row r="4" spans="1:18" ht="20" x14ac:dyDescent="0.2">
      <c r="A4" s="3" t="s">
        <v>7</v>
      </c>
      <c r="B4" s="4">
        <v>1642</v>
      </c>
      <c r="C4" s="4">
        <v>1517</v>
      </c>
      <c r="D4" s="4">
        <v>1409</v>
      </c>
      <c r="E4" s="4">
        <v>1432</v>
      </c>
      <c r="H4" s="8" t="s">
        <v>52</v>
      </c>
      <c r="I4" s="8" t="s">
        <v>46</v>
      </c>
      <c r="J4" s="9">
        <v>4977</v>
      </c>
      <c r="K4" s="9">
        <v>4512</v>
      </c>
    </row>
    <row r="5" spans="1:18" ht="20" x14ac:dyDescent="0.2">
      <c r="A5" s="3" t="s">
        <v>8</v>
      </c>
      <c r="B5" s="4">
        <v>1120</v>
      </c>
      <c r="C5" s="3">
        <v>872</v>
      </c>
      <c r="D5" s="4">
        <v>1046</v>
      </c>
      <c r="E5" s="4">
        <v>1133</v>
      </c>
      <c r="H5" s="8" t="s">
        <v>52</v>
      </c>
      <c r="I5" s="8" t="s">
        <v>47</v>
      </c>
      <c r="J5" s="9">
        <v>5267</v>
      </c>
      <c r="K5" s="9">
        <v>5004</v>
      </c>
      <c r="O5" t="s">
        <v>55</v>
      </c>
      <c r="P5" t="s">
        <v>58</v>
      </c>
      <c r="Q5" t="s">
        <v>57</v>
      </c>
      <c r="R5" t="s">
        <v>56</v>
      </c>
    </row>
    <row r="6" spans="1:18" ht="34" x14ac:dyDescent="0.2">
      <c r="A6" s="3" t="s">
        <v>10</v>
      </c>
      <c r="B6" s="3">
        <v>62</v>
      </c>
      <c r="C6" s="3">
        <v>23</v>
      </c>
      <c r="D6" s="3">
        <v>15</v>
      </c>
      <c r="E6" s="3">
        <v>35</v>
      </c>
      <c r="N6" s="2" t="s">
        <v>54</v>
      </c>
      <c r="O6" s="11">
        <f>B14-B5-B9</f>
        <v>3234</v>
      </c>
      <c r="P6" s="11">
        <f>C14-C5-C9</f>
        <v>2903</v>
      </c>
      <c r="Q6" s="11">
        <f>D14-D5-D9</f>
        <v>2766</v>
      </c>
      <c r="R6" s="11">
        <f>E14-E5-E9</f>
        <v>2687</v>
      </c>
    </row>
    <row r="7" spans="1:18" ht="19" x14ac:dyDescent="0.2">
      <c r="A7" s="3" t="s">
        <v>11</v>
      </c>
      <c r="B7" s="4">
        <v>1275</v>
      </c>
      <c r="C7" s="3">
        <v>923</v>
      </c>
      <c r="D7" s="3">
        <v>712</v>
      </c>
      <c r="E7" s="3">
        <v>877</v>
      </c>
      <c r="N7" t="s">
        <v>53</v>
      </c>
      <c r="O7">
        <f>O6/B14 *100</f>
        <v>61.401177140687302</v>
      </c>
      <c r="P7">
        <f>P6/C14 *100</f>
        <v>58.328310227044398</v>
      </c>
      <c r="Q7">
        <f>Q6/D14 * 100</f>
        <v>53.161637516817215</v>
      </c>
      <c r="R7">
        <f>R6/E14 * 100</f>
        <v>61.137656427758813</v>
      </c>
    </row>
    <row r="8" spans="1:18" ht="19" x14ac:dyDescent="0.2">
      <c r="A8" s="3" t="s">
        <v>12</v>
      </c>
      <c r="B8" s="3">
        <v>8</v>
      </c>
      <c r="C8" s="3">
        <v>10</v>
      </c>
      <c r="D8" s="3">
        <v>9</v>
      </c>
      <c r="E8" s="3">
        <v>10</v>
      </c>
    </row>
    <row r="9" spans="1:18" ht="57" x14ac:dyDescent="0.2">
      <c r="A9" s="3" t="s">
        <v>13</v>
      </c>
      <c r="B9" s="3">
        <v>913</v>
      </c>
      <c r="C9" s="4">
        <v>1202</v>
      </c>
      <c r="D9" s="4">
        <v>1391</v>
      </c>
      <c r="E9" s="3">
        <v>575</v>
      </c>
    </row>
    <row r="10" spans="1:18" ht="19" x14ac:dyDescent="0.2">
      <c r="A10" s="3" t="s">
        <v>14</v>
      </c>
      <c r="B10" s="3">
        <v>8</v>
      </c>
      <c r="C10" s="3" t="s">
        <v>9</v>
      </c>
      <c r="D10" s="3">
        <v>37</v>
      </c>
      <c r="E10" s="3">
        <v>60</v>
      </c>
    </row>
    <row r="11" spans="1:18" ht="19" x14ac:dyDescent="0.2">
      <c r="A11" s="3" t="s">
        <v>15</v>
      </c>
      <c r="B11" s="3">
        <v>112</v>
      </c>
      <c r="C11" s="3">
        <v>137</v>
      </c>
      <c r="D11" s="3">
        <v>186</v>
      </c>
      <c r="E11" s="3">
        <v>156</v>
      </c>
    </row>
    <row r="12" spans="1:18" ht="19" x14ac:dyDescent="0.2">
      <c r="A12" s="3" t="s">
        <v>16</v>
      </c>
      <c r="B12" s="3">
        <v>127</v>
      </c>
      <c r="C12" s="3">
        <v>293</v>
      </c>
      <c r="D12" s="3">
        <v>398</v>
      </c>
      <c r="E12" s="3">
        <v>117</v>
      </c>
    </row>
    <row r="13" spans="1:18" ht="19" x14ac:dyDescent="0.2">
      <c r="A13" s="3" t="s">
        <v>17</v>
      </c>
      <c r="B13" s="3" t="s">
        <v>9</v>
      </c>
      <c r="C13" s="3" t="s">
        <v>9</v>
      </c>
      <c r="D13" s="3" t="s">
        <v>9</v>
      </c>
      <c r="E13" s="3" t="s">
        <v>9</v>
      </c>
    </row>
    <row r="14" spans="1:18" ht="19" x14ac:dyDescent="0.2">
      <c r="A14" s="1" t="s">
        <v>18</v>
      </c>
      <c r="B14" s="5">
        <v>5267</v>
      </c>
      <c r="C14" s="5">
        <v>4977</v>
      </c>
      <c r="D14" s="5">
        <v>5203</v>
      </c>
      <c r="E14" s="5">
        <v>4395</v>
      </c>
    </row>
    <row r="15" spans="1:18" ht="19" x14ac:dyDescent="0.2">
      <c r="A15" s="1" t="s">
        <v>19</v>
      </c>
      <c r="B15" s="1"/>
      <c r="C15" s="1"/>
      <c r="D15" s="1"/>
      <c r="E15" s="1"/>
    </row>
    <row r="16" spans="1:18" ht="19" x14ac:dyDescent="0.2">
      <c r="A16" s="3" t="s">
        <v>20</v>
      </c>
      <c r="B16" s="4">
        <v>1933</v>
      </c>
      <c r="C16" s="4">
        <v>1617</v>
      </c>
      <c r="D16" s="4">
        <v>1525</v>
      </c>
      <c r="E16" s="4">
        <v>1453</v>
      </c>
    </row>
    <row r="17" spans="1:5" ht="19" x14ac:dyDescent="0.2">
      <c r="A17" s="3" t="s">
        <v>21</v>
      </c>
      <c r="B17" s="3">
        <v>219</v>
      </c>
      <c r="C17" s="3">
        <v>236</v>
      </c>
      <c r="D17" s="3">
        <v>166</v>
      </c>
      <c r="E17" s="3">
        <v>119</v>
      </c>
    </row>
    <row r="18" spans="1:5" ht="19" x14ac:dyDescent="0.2">
      <c r="A18" s="3" t="s">
        <v>22</v>
      </c>
      <c r="B18" s="4">
        <v>1104</v>
      </c>
      <c r="C18" s="3">
        <v>969</v>
      </c>
      <c r="D18" s="3">
        <v>952</v>
      </c>
      <c r="E18" s="3">
        <v>950</v>
      </c>
    </row>
    <row r="19" spans="1:5" ht="38" x14ac:dyDescent="0.2">
      <c r="A19" s="3" t="s">
        <v>23</v>
      </c>
      <c r="B19" s="3">
        <v>83</v>
      </c>
      <c r="C19" s="3">
        <v>30</v>
      </c>
      <c r="D19" s="3">
        <v>29</v>
      </c>
      <c r="E19" s="3">
        <v>27</v>
      </c>
    </row>
    <row r="20" spans="1:5" ht="19" x14ac:dyDescent="0.2">
      <c r="A20" s="3" t="s">
        <v>24</v>
      </c>
      <c r="B20" s="3">
        <v>278</v>
      </c>
      <c r="C20" s="4">
        <v>1304</v>
      </c>
      <c r="D20" s="3">
        <v>665</v>
      </c>
      <c r="E20" s="3">
        <v>203</v>
      </c>
    </row>
    <row r="21" spans="1:5" ht="38" x14ac:dyDescent="0.2">
      <c r="A21" s="3" t="s">
        <v>25</v>
      </c>
      <c r="B21" s="4">
        <v>1028</v>
      </c>
      <c r="C21" s="3" t="s">
        <v>9</v>
      </c>
      <c r="D21" s="3">
        <v>818</v>
      </c>
      <c r="E21" s="3">
        <v>591</v>
      </c>
    </row>
    <row r="22" spans="1:5" ht="19" x14ac:dyDescent="0.2">
      <c r="A22" s="3" t="s">
        <v>26</v>
      </c>
      <c r="B22" s="3">
        <v>207</v>
      </c>
      <c r="C22" s="3">
        <v>205</v>
      </c>
      <c r="D22" s="3">
        <v>252</v>
      </c>
      <c r="E22" s="3">
        <v>244</v>
      </c>
    </row>
    <row r="23" spans="1:5" ht="19" x14ac:dyDescent="0.2">
      <c r="A23" s="3" t="s">
        <v>27</v>
      </c>
      <c r="B23" s="3" t="s">
        <v>9</v>
      </c>
      <c r="C23" s="3" t="s">
        <v>9</v>
      </c>
      <c r="D23" s="3" t="s">
        <v>9</v>
      </c>
      <c r="E23" s="3" t="s">
        <v>9</v>
      </c>
    </row>
    <row r="24" spans="1:5" ht="19" x14ac:dyDescent="0.2">
      <c r="A24" s="3" t="s">
        <v>28</v>
      </c>
      <c r="B24" s="3">
        <v>152</v>
      </c>
      <c r="C24" s="3">
        <v>151</v>
      </c>
      <c r="D24" s="3">
        <v>151</v>
      </c>
      <c r="E24" s="3">
        <v>149</v>
      </c>
    </row>
    <row r="25" spans="1:5" ht="19" x14ac:dyDescent="0.2">
      <c r="A25" s="3" t="s">
        <v>17</v>
      </c>
      <c r="B25" s="3" t="s">
        <v>9</v>
      </c>
      <c r="C25" s="3" t="s">
        <v>9</v>
      </c>
      <c r="D25" s="3" t="s">
        <v>9</v>
      </c>
      <c r="E25" s="3" t="s">
        <v>9</v>
      </c>
    </row>
    <row r="26" spans="1:5" ht="19" x14ac:dyDescent="0.2">
      <c r="A26" s="1" t="s">
        <v>29</v>
      </c>
      <c r="B26" s="5">
        <v>5004</v>
      </c>
      <c r="C26" s="5">
        <v>4512</v>
      </c>
      <c r="D26" s="5">
        <v>4558</v>
      </c>
      <c r="E26" s="5">
        <v>3737</v>
      </c>
    </row>
    <row r="27" spans="1:5" ht="57" x14ac:dyDescent="0.2">
      <c r="A27" s="1" t="s">
        <v>30</v>
      </c>
      <c r="B27" s="1">
        <v>263</v>
      </c>
      <c r="C27" s="1">
        <v>465</v>
      </c>
      <c r="D27" s="1">
        <v>645</v>
      </c>
      <c r="E27" s="1">
        <v>658</v>
      </c>
    </row>
    <row r="28" spans="1:5" ht="19" x14ac:dyDescent="0.2">
      <c r="A28" s="3" t="s">
        <v>31</v>
      </c>
      <c r="B28" s="3" t="s">
        <v>9</v>
      </c>
      <c r="C28" s="3" t="s">
        <v>9</v>
      </c>
      <c r="D28" s="3" t="s">
        <v>9</v>
      </c>
      <c r="E28" s="3" t="s">
        <v>9</v>
      </c>
    </row>
    <row r="29" spans="1:5" ht="57" x14ac:dyDescent="0.2">
      <c r="A29" s="1" t="s">
        <v>32</v>
      </c>
      <c r="B29" s="1">
        <v>263</v>
      </c>
      <c r="C29" s="1">
        <v>465</v>
      </c>
      <c r="D29" s="1">
        <v>645</v>
      </c>
      <c r="E29" s="1">
        <v>658</v>
      </c>
    </row>
    <row r="30" spans="1:5" ht="19" x14ac:dyDescent="0.2">
      <c r="A30" s="3" t="s">
        <v>33</v>
      </c>
      <c r="B30" s="3" t="s">
        <v>9</v>
      </c>
      <c r="C30" s="3" t="s">
        <v>9</v>
      </c>
      <c r="D30" s="3" t="s">
        <v>9</v>
      </c>
      <c r="E30" s="3" t="s">
        <v>9</v>
      </c>
    </row>
    <row r="31" spans="1:5" ht="38" x14ac:dyDescent="0.2">
      <c r="A31" s="1" t="s">
        <v>34</v>
      </c>
      <c r="B31" s="1">
        <v>263</v>
      </c>
      <c r="C31" s="1">
        <v>465</v>
      </c>
      <c r="D31" s="1">
        <v>645</v>
      </c>
      <c r="E31" s="1">
        <v>658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4B97-A45A-C943-A6B5-B0D502DE4483}">
  <dimension ref="A1:R30"/>
  <sheetViews>
    <sheetView zoomScale="75" workbookViewId="0">
      <selection activeCell="N3" sqref="N3:R5"/>
    </sheetView>
  </sheetViews>
  <sheetFormatPr baseColWidth="10" defaultRowHeight="16" x14ac:dyDescent="0.2"/>
  <cols>
    <col min="1" max="1" width="27.33203125" customWidth="1"/>
    <col min="2" max="2" width="24.83203125" customWidth="1"/>
    <col min="3" max="3" width="21.6640625" customWidth="1"/>
    <col min="4" max="4" width="22.1640625" customWidth="1"/>
    <col min="5" max="5" width="24.33203125" customWidth="1"/>
    <col min="8" max="8" width="17.1640625" customWidth="1"/>
    <col min="9" max="9" width="15.6640625" customWidth="1"/>
    <col min="10" max="10" width="19.5" customWidth="1"/>
    <col min="11" max="11" width="13.33203125" customWidth="1"/>
  </cols>
  <sheetData>
    <row r="1" spans="1:18" x14ac:dyDescent="0.2">
      <c r="A1" s="2"/>
      <c r="B1" s="2"/>
      <c r="C1" s="2"/>
      <c r="D1" s="2"/>
      <c r="E1" s="2"/>
    </row>
    <row r="2" spans="1:18" ht="6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8" t="s">
        <v>39</v>
      </c>
      <c r="I2" s="8" t="s">
        <v>40</v>
      </c>
      <c r="J2" s="8" t="s">
        <v>41</v>
      </c>
      <c r="K2" s="8" t="s">
        <v>42</v>
      </c>
    </row>
    <row r="3" spans="1:18" ht="76" x14ac:dyDescent="0.2">
      <c r="A3" s="1"/>
      <c r="B3" s="1" t="s">
        <v>36</v>
      </c>
      <c r="C3" s="1" t="s">
        <v>36</v>
      </c>
      <c r="D3" s="1" t="s">
        <v>36</v>
      </c>
      <c r="E3" s="1" t="s">
        <v>36</v>
      </c>
      <c r="H3" s="8" t="s">
        <v>49</v>
      </c>
      <c r="I3" s="8" t="s">
        <v>44</v>
      </c>
      <c r="J3" s="9">
        <v>3146</v>
      </c>
      <c r="K3" s="9">
        <v>2292</v>
      </c>
      <c r="O3" t="s">
        <v>55</v>
      </c>
      <c r="P3" t="s">
        <v>58</v>
      </c>
      <c r="Q3" t="s">
        <v>57</v>
      </c>
      <c r="R3" t="s">
        <v>56</v>
      </c>
    </row>
    <row r="4" spans="1:18" ht="40" x14ac:dyDescent="0.2">
      <c r="A4" s="1" t="s">
        <v>6</v>
      </c>
      <c r="B4" s="1"/>
      <c r="C4" s="1"/>
      <c r="D4" s="1"/>
      <c r="E4" s="1"/>
      <c r="H4" s="8" t="s">
        <v>49</v>
      </c>
      <c r="I4" s="8" t="s">
        <v>45</v>
      </c>
      <c r="J4" s="9">
        <v>2937</v>
      </c>
      <c r="K4" s="9">
        <v>2050</v>
      </c>
      <c r="N4" s="2" t="s">
        <v>54</v>
      </c>
      <c r="O4" s="11">
        <f>B15-B6-B10</f>
        <v>3561</v>
      </c>
      <c r="P4" s="11">
        <f>C15-C10</f>
        <v>3144</v>
      </c>
      <c r="Q4" s="11">
        <f>D15-D10</f>
        <v>2532</v>
      </c>
      <c r="R4" s="11">
        <f>E15-E6-E10</f>
        <v>2723</v>
      </c>
    </row>
    <row r="5" spans="1:18" ht="40" x14ac:dyDescent="0.2">
      <c r="A5" s="3" t="s">
        <v>7</v>
      </c>
      <c r="B5" s="4">
        <v>1826</v>
      </c>
      <c r="C5" s="4">
        <v>1744</v>
      </c>
      <c r="D5" s="4">
        <v>1702</v>
      </c>
      <c r="E5" s="4">
        <v>1598</v>
      </c>
      <c r="H5" s="8" t="s">
        <v>49</v>
      </c>
      <c r="I5" s="8" t="s">
        <v>46</v>
      </c>
      <c r="J5" s="9">
        <v>3524</v>
      </c>
      <c r="K5" s="9">
        <v>2874</v>
      </c>
      <c r="N5" t="s">
        <v>53</v>
      </c>
      <c r="O5">
        <f>O4/B15 * 100</f>
        <v>91.707442698944121</v>
      </c>
      <c r="P5">
        <f>P4/C15 * 100</f>
        <v>89.216799091940985</v>
      </c>
      <c r="Q5">
        <f>Q4/D15 *100</f>
        <v>86.210418794688465</v>
      </c>
      <c r="R5">
        <f>R4/E15 *100</f>
        <v>86.554354736172925</v>
      </c>
    </row>
    <row r="6" spans="1:18" ht="40" x14ac:dyDescent="0.2">
      <c r="A6" s="3" t="s">
        <v>8</v>
      </c>
      <c r="B6" s="3">
        <v>42</v>
      </c>
      <c r="C6" s="3" t="s">
        <v>9</v>
      </c>
      <c r="D6" s="3" t="s">
        <v>9</v>
      </c>
      <c r="E6" s="3">
        <v>421</v>
      </c>
      <c r="H6" s="8" t="s">
        <v>49</v>
      </c>
      <c r="I6" s="8" t="s">
        <v>47</v>
      </c>
      <c r="J6" s="9">
        <v>3883</v>
      </c>
      <c r="K6" s="9">
        <v>3122</v>
      </c>
    </row>
    <row r="7" spans="1:18" ht="57" x14ac:dyDescent="0.2">
      <c r="A7" s="3" t="s">
        <v>10</v>
      </c>
      <c r="B7" s="3">
        <v>12</v>
      </c>
      <c r="C7" s="3">
        <v>11</v>
      </c>
      <c r="D7" s="3">
        <v>8</v>
      </c>
      <c r="E7" s="3">
        <v>6</v>
      </c>
    </row>
    <row r="8" spans="1:18" ht="38" x14ac:dyDescent="0.2">
      <c r="A8" s="3" t="s">
        <v>11</v>
      </c>
      <c r="B8" s="4">
        <v>1607</v>
      </c>
      <c r="C8" s="4">
        <v>1258</v>
      </c>
      <c r="D8" s="3">
        <v>744</v>
      </c>
      <c r="E8" s="4">
        <v>1092</v>
      </c>
    </row>
    <row r="9" spans="1:18" ht="38" x14ac:dyDescent="0.2">
      <c r="A9" s="3" t="s">
        <v>12</v>
      </c>
      <c r="B9" s="3">
        <v>0</v>
      </c>
      <c r="C9" s="3">
        <v>1</v>
      </c>
      <c r="D9" s="3">
        <v>0</v>
      </c>
      <c r="E9" s="3">
        <v>1</v>
      </c>
    </row>
    <row r="10" spans="1:18" ht="57" x14ac:dyDescent="0.2">
      <c r="A10" s="3" t="s">
        <v>13</v>
      </c>
      <c r="B10" s="3">
        <v>280</v>
      </c>
      <c r="C10" s="3">
        <v>380</v>
      </c>
      <c r="D10" s="3">
        <v>405</v>
      </c>
      <c r="E10" s="3">
        <v>2</v>
      </c>
    </row>
    <row r="11" spans="1:18" ht="38" x14ac:dyDescent="0.2">
      <c r="A11" s="3" t="s">
        <v>14</v>
      </c>
      <c r="B11" s="3">
        <v>0</v>
      </c>
      <c r="C11" s="3" t="s">
        <v>9</v>
      </c>
      <c r="D11" s="3" t="s">
        <v>9</v>
      </c>
      <c r="E11" s="3" t="s">
        <v>9</v>
      </c>
    </row>
    <row r="12" spans="1:18" ht="19" x14ac:dyDescent="0.2">
      <c r="A12" s="3" t="s">
        <v>15</v>
      </c>
      <c r="B12" s="3">
        <v>115</v>
      </c>
      <c r="C12" s="3">
        <v>124</v>
      </c>
      <c r="D12" s="3">
        <v>18</v>
      </c>
      <c r="E12" s="3">
        <v>11</v>
      </c>
    </row>
    <row r="13" spans="1:18" ht="19" x14ac:dyDescent="0.2">
      <c r="A13" s="3" t="s">
        <v>16</v>
      </c>
      <c r="B13" s="3">
        <v>1</v>
      </c>
      <c r="C13" s="3">
        <v>6</v>
      </c>
      <c r="D13" s="3">
        <v>60</v>
      </c>
      <c r="E13" s="3">
        <v>15</v>
      </c>
    </row>
    <row r="14" spans="1:18" ht="19" x14ac:dyDescent="0.2">
      <c r="A14" s="3" t="s">
        <v>17</v>
      </c>
      <c r="B14" s="3" t="s">
        <v>9</v>
      </c>
      <c r="C14" s="3" t="s">
        <v>9</v>
      </c>
      <c r="D14" s="3" t="s">
        <v>9</v>
      </c>
      <c r="E14" s="3" t="s">
        <v>9</v>
      </c>
    </row>
    <row r="15" spans="1:18" ht="19" x14ac:dyDescent="0.2">
      <c r="A15" s="1" t="s">
        <v>18</v>
      </c>
      <c r="B15" s="5">
        <v>3883</v>
      </c>
      <c r="C15" s="5">
        <v>3524</v>
      </c>
      <c r="D15" s="5">
        <v>2937</v>
      </c>
      <c r="E15" s="5">
        <v>3146</v>
      </c>
    </row>
    <row r="16" spans="1:18" ht="19" x14ac:dyDescent="0.2">
      <c r="A16" s="1" t="s">
        <v>19</v>
      </c>
      <c r="B16" s="1"/>
      <c r="C16" s="1"/>
      <c r="D16" s="1"/>
      <c r="E16" s="1"/>
    </row>
    <row r="17" spans="1:5" ht="38" x14ac:dyDescent="0.2">
      <c r="A17" s="3" t="s">
        <v>20</v>
      </c>
      <c r="B17" s="4">
        <v>1470</v>
      </c>
      <c r="C17" s="4">
        <v>1372</v>
      </c>
      <c r="D17" s="4">
        <v>1151</v>
      </c>
      <c r="E17" s="4">
        <v>1134</v>
      </c>
    </row>
    <row r="18" spans="1:5" ht="38" x14ac:dyDescent="0.2">
      <c r="A18" s="3" t="s">
        <v>21</v>
      </c>
      <c r="B18" s="3">
        <v>137</v>
      </c>
      <c r="C18" s="3">
        <v>93</v>
      </c>
      <c r="D18" s="3">
        <v>69</v>
      </c>
      <c r="E18" s="3">
        <v>84</v>
      </c>
    </row>
    <row r="19" spans="1:5" ht="38" x14ac:dyDescent="0.2">
      <c r="A19" s="3" t="s">
        <v>22</v>
      </c>
      <c r="B19" s="3">
        <v>711</v>
      </c>
      <c r="C19" s="3">
        <v>718</v>
      </c>
      <c r="D19" s="3">
        <v>619</v>
      </c>
      <c r="E19" s="3">
        <v>598</v>
      </c>
    </row>
    <row r="20" spans="1:5" ht="57" x14ac:dyDescent="0.2">
      <c r="A20" s="3" t="s">
        <v>23</v>
      </c>
      <c r="B20" s="3">
        <v>351</v>
      </c>
      <c r="C20" s="3">
        <v>256</v>
      </c>
      <c r="D20" s="3">
        <v>145</v>
      </c>
      <c r="E20" s="3">
        <v>58</v>
      </c>
    </row>
    <row r="21" spans="1:5" ht="19" x14ac:dyDescent="0.2">
      <c r="A21" s="3" t="s">
        <v>24</v>
      </c>
      <c r="B21" s="3">
        <v>54</v>
      </c>
      <c r="C21" s="3">
        <v>37</v>
      </c>
      <c r="D21" s="3">
        <v>65</v>
      </c>
      <c r="E21" s="3">
        <v>40</v>
      </c>
    </row>
    <row r="22" spans="1:5" ht="38" x14ac:dyDescent="0.2">
      <c r="A22" s="3" t="s">
        <v>28</v>
      </c>
      <c r="B22" s="3">
        <v>399</v>
      </c>
      <c r="C22" s="3">
        <v>398</v>
      </c>
      <c r="D22" s="3" t="s">
        <v>9</v>
      </c>
      <c r="E22" s="3">
        <v>378</v>
      </c>
    </row>
    <row r="23" spans="1:5" ht="18" x14ac:dyDescent="0.2">
      <c r="A23" s="3"/>
      <c r="B23" s="3"/>
      <c r="C23" s="3"/>
      <c r="D23" s="3"/>
      <c r="E23" s="3"/>
    </row>
    <row r="24" spans="1:5" ht="19" x14ac:dyDescent="0.2">
      <c r="A24" s="3" t="s">
        <v>17</v>
      </c>
      <c r="B24" s="3" t="s">
        <v>9</v>
      </c>
      <c r="C24" s="3" t="s">
        <v>9</v>
      </c>
      <c r="D24" s="3" t="s">
        <v>9</v>
      </c>
      <c r="E24" s="3" t="s">
        <v>9</v>
      </c>
    </row>
    <row r="25" spans="1:5" ht="19" x14ac:dyDescent="0.2">
      <c r="A25" s="1" t="s">
        <v>29</v>
      </c>
      <c r="B25" s="5">
        <v>3122</v>
      </c>
      <c r="C25" s="5">
        <v>2874</v>
      </c>
      <c r="D25" s="5">
        <v>2050</v>
      </c>
      <c r="E25" s="5">
        <v>2292</v>
      </c>
    </row>
    <row r="26" spans="1:5" ht="133" x14ac:dyDescent="0.2">
      <c r="A26" s="1" t="s">
        <v>30</v>
      </c>
      <c r="B26" s="1">
        <v>761</v>
      </c>
      <c r="C26" s="1">
        <v>650</v>
      </c>
      <c r="D26" s="1">
        <v>888</v>
      </c>
      <c r="E26" s="1">
        <v>854</v>
      </c>
    </row>
    <row r="27" spans="1:5" ht="19" x14ac:dyDescent="0.2">
      <c r="A27" s="3" t="s">
        <v>31</v>
      </c>
      <c r="B27" s="3">
        <v>-7</v>
      </c>
      <c r="C27" s="3" t="s">
        <v>9</v>
      </c>
      <c r="D27" s="3" t="s">
        <v>9</v>
      </c>
      <c r="E27" s="3" t="s">
        <v>9</v>
      </c>
    </row>
    <row r="28" spans="1:5" ht="114" x14ac:dyDescent="0.2">
      <c r="A28" s="1" t="s">
        <v>32</v>
      </c>
      <c r="B28" s="1">
        <v>754</v>
      </c>
      <c r="C28" s="1">
        <v>650</v>
      </c>
      <c r="D28" s="1">
        <v>888</v>
      </c>
      <c r="E28" s="1">
        <v>854</v>
      </c>
    </row>
    <row r="29" spans="1:5" ht="38" x14ac:dyDescent="0.2">
      <c r="A29" s="3" t="s">
        <v>33</v>
      </c>
      <c r="B29" s="3">
        <v>-50</v>
      </c>
      <c r="C29" s="3">
        <v>-50</v>
      </c>
      <c r="D29" s="3" t="s">
        <v>9</v>
      </c>
      <c r="E29" s="3">
        <v>107</v>
      </c>
    </row>
    <row r="30" spans="1:5" ht="57" x14ac:dyDescent="0.2">
      <c r="A30" s="1" t="s">
        <v>34</v>
      </c>
      <c r="B30" s="1">
        <v>705</v>
      </c>
      <c r="C30" s="1">
        <v>600</v>
      </c>
      <c r="D30" s="1">
        <v>888</v>
      </c>
      <c r="E30" s="1">
        <v>961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D0FB-6CD6-C14C-8B30-42C4EF90FA03}">
  <dimension ref="A1:T32"/>
  <sheetViews>
    <sheetView topLeftCell="A2" zoomScale="75" workbookViewId="0">
      <selection activeCell="P5" sqref="P5:T7"/>
    </sheetView>
  </sheetViews>
  <sheetFormatPr baseColWidth="10" defaultRowHeight="16" x14ac:dyDescent="0.2"/>
  <cols>
    <col min="1" max="1" width="26.33203125" customWidth="1"/>
    <col min="2" max="2" width="15.6640625" customWidth="1"/>
    <col min="3" max="3" width="13.83203125" customWidth="1"/>
    <col min="4" max="4" width="17.33203125" customWidth="1"/>
    <col min="5" max="5" width="15" customWidth="1"/>
    <col min="10" max="10" width="15.5" customWidth="1"/>
    <col min="11" max="11" width="14.5" customWidth="1"/>
  </cols>
  <sheetData>
    <row r="1" spans="1:20" x14ac:dyDescent="0.2">
      <c r="A1" s="2"/>
      <c r="B1" s="2"/>
      <c r="C1" s="2"/>
      <c r="D1" s="2"/>
      <c r="E1" s="2"/>
    </row>
    <row r="2" spans="1:20" ht="6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8" t="s">
        <v>39</v>
      </c>
      <c r="I2" s="8" t="s">
        <v>40</v>
      </c>
      <c r="J2" s="8" t="s">
        <v>41</v>
      </c>
      <c r="K2" s="8" t="s">
        <v>42</v>
      </c>
    </row>
    <row r="3" spans="1:20" ht="76" x14ac:dyDescent="0.2">
      <c r="A3" s="1"/>
      <c r="B3" s="1" t="s">
        <v>37</v>
      </c>
      <c r="C3" s="1" t="s">
        <v>37</v>
      </c>
      <c r="D3" s="1" t="s">
        <v>37</v>
      </c>
      <c r="E3" s="1" t="s">
        <v>37</v>
      </c>
      <c r="H3" s="8" t="s">
        <v>50</v>
      </c>
      <c r="I3" s="8" t="s">
        <v>44</v>
      </c>
      <c r="J3" s="9">
        <v>4163</v>
      </c>
      <c r="K3" s="9">
        <v>3908</v>
      </c>
    </row>
    <row r="4" spans="1:20" ht="20" x14ac:dyDescent="0.2">
      <c r="A4" s="1" t="s">
        <v>6</v>
      </c>
      <c r="B4" s="1"/>
      <c r="C4" s="1"/>
      <c r="D4" s="1"/>
      <c r="E4" s="1"/>
      <c r="H4" s="8" t="s">
        <v>50</v>
      </c>
      <c r="I4" s="8" t="s">
        <v>45</v>
      </c>
      <c r="J4" s="9">
        <v>3732</v>
      </c>
      <c r="K4" s="9">
        <v>4896</v>
      </c>
    </row>
    <row r="5" spans="1:20" ht="20" x14ac:dyDescent="0.2">
      <c r="A5" s="3" t="s">
        <v>7</v>
      </c>
      <c r="B5" s="4">
        <v>1391</v>
      </c>
      <c r="C5" s="4">
        <v>1322</v>
      </c>
      <c r="D5" s="4">
        <v>1224</v>
      </c>
      <c r="E5" s="4">
        <v>1494</v>
      </c>
      <c r="H5" s="8" t="s">
        <v>50</v>
      </c>
      <c r="I5" s="8" t="s">
        <v>46</v>
      </c>
      <c r="J5" s="9">
        <v>3981</v>
      </c>
      <c r="K5" s="9">
        <v>4435</v>
      </c>
      <c r="Q5" t="s">
        <v>55</v>
      </c>
      <c r="R5" t="s">
        <v>58</v>
      </c>
      <c r="S5" t="s">
        <v>57</v>
      </c>
      <c r="T5" t="s">
        <v>56</v>
      </c>
    </row>
    <row r="6" spans="1:20" ht="38" x14ac:dyDescent="0.2">
      <c r="A6" s="3" t="s">
        <v>8</v>
      </c>
      <c r="B6" s="3">
        <v>16</v>
      </c>
      <c r="C6" s="3">
        <v>15</v>
      </c>
      <c r="D6" s="3">
        <v>34</v>
      </c>
      <c r="E6" s="3">
        <v>27</v>
      </c>
      <c r="H6" s="8" t="s">
        <v>50</v>
      </c>
      <c r="I6" s="8" t="s">
        <v>47</v>
      </c>
      <c r="J6" s="9">
        <v>4224</v>
      </c>
      <c r="K6" s="9">
        <v>4628</v>
      </c>
      <c r="P6" s="2" t="s">
        <v>54</v>
      </c>
      <c r="Q6" s="11">
        <f>B15-B10-B6</f>
        <v>2547</v>
      </c>
      <c r="R6" s="11">
        <f>C15-C6-C10</f>
        <v>2399</v>
      </c>
      <c r="S6" s="11">
        <f>D15-D10-D6</f>
        <v>2072</v>
      </c>
      <c r="T6" s="11">
        <f>E15-E6-E10</f>
        <v>2418</v>
      </c>
    </row>
    <row r="7" spans="1:20" ht="38" x14ac:dyDescent="0.2">
      <c r="A7" s="3" t="s">
        <v>10</v>
      </c>
      <c r="B7" s="3">
        <v>55</v>
      </c>
      <c r="C7" s="3">
        <v>52</v>
      </c>
      <c r="D7" s="3">
        <v>24</v>
      </c>
      <c r="E7" s="3">
        <v>34</v>
      </c>
      <c r="P7" t="s">
        <v>53</v>
      </c>
      <c r="Q7">
        <f>Q6/B15 *100</f>
        <v>60.29829545454546</v>
      </c>
      <c r="R7">
        <f>R6/C15 *100</f>
        <v>60.261240894247678</v>
      </c>
      <c r="S7">
        <f>S6/D15 *100</f>
        <v>55.519828510182215</v>
      </c>
      <c r="T7">
        <f>T6/E15 * 100</f>
        <v>58.083113139562812</v>
      </c>
    </row>
    <row r="8" spans="1:20" ht="19" x14ac:dyDescent="0.2">
      <c r="A8" s="3" t="s">
        <v>11</v>
      </c>
      <c r="B8" s="3">
        <v>321</v>
      </c>
      <c r="C8" s="3">
        <v>247</v>
      </c>
      <c r="D8" s="3">
        <v>193</v>
      </c>
      <c r="E8" s="3">
        <v>213</v>
      </c>
    </row>
    <row r="9" spans="1:20" ht="19" x14ac:dyDescent="0.2">
      <c r="A9" s="3" t="s">
        <v>12</v>
      </c>
      <c r="B9" s="3" t="s">
        <v>9</v>
      </c>
      <c r="C9" s="3">
        <v>57</v>
      </c>
      <c r="D9" s="3" t="s">
        <v>9</v>
      </c>
      <c r="E9" s="3">
        <v>35</v>
      </c>
    </row>
    <row r="10" spans="1:20" ht="57" x14ac:dyDescent="0.2">
      <c r="A10" s="3" t="s">
        <v>13</v>
      </c>
      <c r="B10" s="4">
        <v>1661</v>
      </c>
      <c r="C10" s="4">
        <v>1567</v>
      </c>
      <c r="D10" s="4">
        <v>1626</v>
      </c>
      <c r="E10" s="4">
        <v>1718</v>
      </c>
    </row>
    <row r="11" spans="1:20" ht="38" x14ac:dyDescent="0.2">
      <c r="A11" s="3" t="s">
        <v>14</v>
      </c>
      <c r="B11" s="3">
        <v>2</v>
      </c>
      <c r="C11" s="3">
        <v>2</v>
      </c>
      <c r="D11" s="3">
        <v>2</v>
      </c>
      <c r="E11" s="3" t="s">
        <v>9</v>
      </c>
    </row>
    <row r="12" spans="1:20" ht="19" x14ac:dyDescent="0.2">
      <c r="A12" s="3" t="s">
        <v>15</v>
      </c>
      <c r="B12" s="3">
        <v>3</v>
      </c>
      <c r="C12" s="3">
        <v>3</v>
      </c>
      <c r="D12" s="3">
        <v>4</v>
      </c>
      <c r="E12" s="3">
        <v>8</v>
      </c>
    </row>
    <row r="13" spans="1:20" ht="19" x14ac:dyDescent="0.2">
      <c r="A13" s="3" t="s">
        <v>16</v>
      </c>
      <c r="B13" s="3">
        <v>775</v>
      </c>
      <c r="C13" s="3">
        <v>716</v>
      </c>
      <c r="D13" s="3">
        <v>625</v>
      </c>
      <c r="E13" s="3">
        <v>632</v>
      </c>
    </row>
    <row r="14" spans="1:20" ht="19" x14ac:dyDescent="0.2">
      <c r="A14" s="3" t="s">
        <v>17</v>
      </c>
      <c r="B14" s="3" t="s">
        <v>9</v>
      </c>
      <c r="C14" s="3" t="s">
        <v>9</v>
      </c>
      <c r="D14" s="3" t="s">
        <v>9</v>
      </c>
      <c r="E14" s="3" t="s">
        <v>9</v>
      </c>
    </row>
    <row r="15" spans="1:20" ht="19" x14ac:dyDescent="0.2">
      <c r="A15" s="1" t="s">
        <v>18</v>
      </c>
      <c r="B15" s="5">
        <v>4224</v>
      </c>
      <c r="C15" s="5">
        <v>3981</v>
      </c>
      <c r="D15" s="5">
        <v>3732</v>
      </c>
      <c r="E15" s="5">
        <v>4163</v>
      </c>
    </row>
    <row r="16" spans="1:20" ht="19" x14ac:dyDescent="0.2">
      <c r="A16" s="1" t="s">
        <v>19</v>
      </c>
      <c r="B16" s="1"/>
      <c r="C16" s="1"/>
      <c r="D16" s="1"/>
      <c r="E16" s="1"/>
    </row>
    <row r="17" spans="1:5" ht="38" x14ac:dyDescent="0.2">
      <c r="A17" s="3" t="s">
        <v>20</v>
      </c>
      <c r="B17" s="3">
        <v>988</v>
      </c>
      <c r="C17" s="3">
        <v>941</v>
      </c>
      <c r="D17" s="3">
        <v>795</v>
      </c>
      <c r="E17" s="3">
        <v>648</v>
      </c>
    </row>
    <row r="18" spans="1:5" ht="38" x14ac:dyDescent="0.2">
      <c r="A18" s="3" t="s">
        <v>21</v>
      </c>
      <c r="B18" s="4">
        <v>1781</v>
      </c>
      <c r="C18" s="4">
        <v>1729</v>
      </c>
      <c r="D18" s="4">
        <v>1973</v>
      </c>
      <c r="E18" s="4">
        <v>1885</v>
      </c>
    </row>
    <row r="19" spans="1:5" ht="38" x14ac:dyDescent="0.2">
      <c r="A19" s="3" t="s">
        <v>22</v>
      </c>
      <c r="B19" s="3">
        <v>461</v>
      </c>
      <c r="C19" s="3">
        <v>447</v>
      </c>
      <c r="D19" s="3">
        <v>424</v>
      </c>
      <c r="E19" s="3">
        <v>442</v>
      </c>
    </row>
    <row r="20" spans="1:5" ht="38" x14ac:dyDescent="0.2">
      <c r="A20" s="3" t="s">
        <v>23</v>
      </c>
      <c r="B20" s="3">
        <v>109</v>
      </c>
      <c r="C20" s="3">
        <v>109</v>
      </c>
      <c r="D20" s="3">
        <v>110</v>
      </c>
      <c r="E20" s="3">
        <v>110</v>
      </c>
    </row>
    <row r="21" spans="1:5" ht="19" x14ac:dyDescent="0.2">
      <c r="A21" s="3" t="s">
        <v>24</v>
      </c>
      <c r="B21" s="3">
        <v>194</v>
      </c>
      <c r="C21" s="3">
        <v>193</v>
      </c>
      <c r="D21" s="3">
        <v>7</v>
      </c>
      <c r="E21" s="3">
        <v>148</v>
      </c>
    </row>
    <row r="22" spans="1:5" ht="57" x14ac:dyDescent="0.2">
      <c r="A22" s="3" t="s">
        <v>25</v>
      </c>
      <c r="B22" s="3" t="s">
        <v>9</v>
      </c>
      <c r="C22" s="3" t="s">
        <v>9</v>
      </c>
      <c r="D22" s="3">
        <v>198</v>
      </c>
      <c r="E22" s="3" t="s">
        <v>9</v>
      </c>
    </row>
    <row r="23" spans="1:5" ht="38" x14ac:dyDescent="0.2">
      <c r="A23" s="3" t="s">
        <v>26</v>
      </c>
      <c r="B23" s="3">
        <v>60</v>
      </c>
      <c r="C23" s="3">
        <v>57</v>
      </c>
      <c r="D23" s="3">
        <v>600</v>
      </c>
      <c r="E23" s="3">
        <v>39</v>
      </c>
    </row>
    <row r="24" spans="1:5" ht="38" x14ac:dyDescent="0.2">
      <c r="A24" s="3" t="s">
        <v>27</v>
      </c>
      <c r="B24" s="3" t="s">
        <v>9</v>
      </c>
      <c r="C24" s="3">
        <v>2</v>
      </c>
      <c r="D24" s="3">
        <v>0</v>
      </c>
      <c r="E24" s="3">
        <v>0</v>
      </c>
    </row>
    <row r="25" spans="1:5" ht="38" x14ac:dyDescent="0.2">
      <c r="A25" s="3" t="s">
        <v>28</v>
      </c>
      <c r="B25" s="4">
        <v>1035</v>
      </c>
      <c r="C25" s="3">
        <v>957</v>
      </c>
      <c r="D25" s="3">
        <v>788</v>
      </c>
      <c r="E25" s="3">
        <v>636</v>
      </c>
    </row>
    <row r="26" spans="1:5" ht="19" x14ac:dyDescent="0.2">
      <c r="A26" s="3" t="s">
        <v>17</v>
      </c>
      <c r="B26" s="3" t="s">
        <v>9</v>
      </c>
      <c r="C26" s="3" t="s">
        <v>9</v>
      </c>
      <c r="D26" s="3" t="s">
        <v>9</v>
      </c>
      <c r="E26" s="3" t="s">
        <v>9</v>
      </c>
    </row>
    <row r="27" spans="1:5" ht="19" x14ac:dyDescent="0.2">
      <c r="A27" s="1" t="s">
        <v>29</v>
      </c>
      <c r="B27" s="5">
        <v>4628</v>
      </c>
      <c r="C27" s="5">
        <v>4435</v>
      </c>
      <c r="D27" s="5">
        <v>4896</v>
      </c>
      <c r="E27" s="5">
        <v>3908</v>
      </c>
    </row>
    <row r="28" spans="1:5" ht="114" x14ac:dyDescent="0.2">
      <c r="A28" s="1" t="s">
        <v>30</v>
      </c>
      <c r="B28" s="1">
        <v>-404</v>
      </c>
      <c r="C28" s="1">
        <v>-454</v>
      </c>
      <c r="D28" s="5">
        <v>-1164</v>
      </c>
      <c r="E28" s="1">
        <v>255</v>
      </c>
    </row>
    <row r="29" spans="1:5" ht="19" x14ac:dyDescent="0.2">
      <c r="A29" s="3" t="s">
        <v>31</v>
      </c>
      <c r="B29" s="3" t="s">
        <v>9</v>
      </c>
      <c r="C29" s="3" t="s">
        <v>9</v>
      </c>
      <c r="D29" s="3" t="s">
        <v>9</v>
      </c>
      <c r="E29" s="3" t="s">
        <v>9</v>
      </c>
    </row>
    <row r="30" spans="1:5" ht="114" x14ac:dyDescent="0.2">
      <c r="A30" s="1" t="s">
        <v>32</v>
      </c>
      <c r="B30" s="1">
        <v>-404</v>
      </c>
      <c r="C30" s="1">
        <v>-454</v>
      </c>
      <c r="D30" s="5">
        <v>-1164</v>
      </c>
      <c r="E30" s="1">
        <v>255</v>
      </c>
    </row>
    <row r="31" spans="1:5" ht="38" x14ac:dyDescent="0.2">
      <c r="A31" s="3" t="s">
        <v>33</v>
      </c>
      <c r="B31" s="3" t="s">
        <v>9</v>
      </c>
      <c r="C31" s="3" t="s">
        <v>9</v>
      </c>
      <c r="D31" s="3" t="s">
        <v>9</v>
      </c>
      <c r="E31" s="3" t="s">
        <v>9</v>
      </c>
    </row>
    <row r="32" spans="1:5" ht="57" x14ac:dyDescent="0.2">
      <c r="A32" s="1" t="s">
        <v>34</v>
      </c>
      <c r="B32" s="1">
        <v>-404</v>
      </c>
      <c r="C32" s="1">
        <v>-454</v>
      </c>
      <c r="D32" s="5">
        <v>-1164</v>
      </c>
      <c r="E32" s="1">
        <v>255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97E1-DE71-584F-9F76-6EE09DCC1E4A}">
  <dimension ref="A1:S31"/>
  <sheetViews>
    <sheetView tabSelected="1" topLeftCell="B1" zoomScale="75" workbookViewId="0">
      <selection activeCell="O5" sqref="O5:S7"/>
    </sheetView>
  </sheetViews>
  <sheetFormatPr baseColWidth="10" defaultRowHeight="16" x14ac:dyDescent="0.2"/>
  <cols>
    <col min="1" max="1" width="41.1640625" customWidth="1"/>
    <col min="2" max="2" width="25.83203125" customWidth="1"/>
    <col min="3" max="3" width="27.1640625" customWidth="1"/>
    <col min="4" max="4" width="27.83203125" customWidth="1"/>
    <col min="5" max="5" width="28.1640625" customWidth="1"/>
    <col min="9" max="9" width="14.5" customWidth="1"/>
    <col min="10" max="10" width="14.83203125" customWidth="1"/>
    <col min="11" max="11" width="14.5" customWidth="1"/>
  </cols>
  <sheetData>
    <row r="1" spans="1:19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8" t="s">
        <v>39</v>
      </c>
      <c r="I1" s="8" t="s">
        <v>40</v>
      </c>
      <c r="J1" s="8" t="s">
        <v>41</v>
      </c>
      <c r="K1" s="8" t="s">
        <v>42</v>
      </c>
    </row>
    <row r="2" spans="1:19" ht="38" x14ac:dyDescent="0.2">
      <c r="A2" s="1"/>
      <c r="B2" s="1" t="s">
        <v>38</v>
      </c>
      <c r="C2" s="1" t="s">
        <v>38</v>
      </c>
      <c r="D2" s="1" t="s">
        <v>38</v>
      </c>
      <c r="E2" s="1" t="s">
        <v>38</v>
      </c>
      <c r="H2" s="8" t="s">
        <v>51</v>
      </c>
      <c r="I2" s="8" t="s">
        <v>44</v>
      </c>
      <c r="J2" s="9">
        <v>5939</v>
      </c>
      <c r="K2" s="9">
        <v>5098</v>
      </c>
    </row>
    <row r="3" spans="1:19" ht="20" x14ac:dyDescent="0.2">
      <c r="A3" s="1" t="s">
        <v>6</v>
      </c>
      <c r="B3" s="1"/>
      <c r="C3" s="1"/>
      <c r="D3" s="1"/>
      <c r="E3" s="1"/>
      <c r="H3" s="8" t="s">
        <v>51</v>
      </c>
      <c r="I3" s="8" t="s">
        <v>45</v>
      </c>
      <c r="J3" s="9">
        <v>6733</v>
      </c>
      <c r="K3" s="9">
        <v>5443</v>
      </c>
    </row>
    <row r="4" spans="1:19" ht="20" x14ac:dyDescent="0.2">
      <c r="A4" s="3" t="s">
        <v>7</v>
      </c>
      <c r="B4" s="4">
        <v>4043</v>
      </c>
      <c r="C4" s="4">
        <v>5810</v>
      </c>
      <c r="D4" s="4">
        <v>4581</v>
      </c>
      <c r="E4" s="4">
        <v>4513</v>
      </c>
      <c r="H4" s="8" t="s">
        <v>51</v>
      </c>
      <c r="I4" s="8" t="s">
        <v>46</v>
      </c>
      <c r="J4" s="9">
        <v>8563</v>
      </c>
      <c r="K4" s="9">
        <v>7155</v>
      </c>
    </row>
    <row r="5" spans="1:19" ht="20" x14ac:dyDescent="0.2">
      <c r="A5" s="3" t="s">
        <v>8</v>
      </c>
      <c r="B5" s="4">
        <v>2539</v>
      </c>
      <c r="C5" s="3" t="s">
        <v>9</v>
      </c>
      <c r="D5" s="3" t="s">
        <v>9</v>
      </c>
      <c r="E5" s="3" t="s">
        <v>9</v>
      </c>
      <c r="H5" s="8" t="s">
        <v>51</v>
      </c>
      <c r="I5" s="8" t="s">
        <v>47</v>
      </c>
      <c r="J5" s="9">
        <v>9426</v>
      </c>
      <c r="K5" s="9">
        <v>7836</v>
      </c>
      <c r="P5" t="s">
        <v>55</v>
      </c>
      <c r="Q5" t="s">
        <v>58</v>
      </c>
      <c r="R5" t="s">
        <v>57</v>
      </c>
      <c r="S5" t="s">
        <v>56</v>
      </c>
    </row>
    <row r="6" spans="1:19" ht="38" x14ac:dyDescent="0.2">
      <c r="A6" s="3" t="s">
        <v>10</v>
      </c>
      <c r="B6" s="3">
        <v>59</v>
      </c>
      <c r="C6" s="3">
        <v>36</v>
      </c>
      <c r="D6" s="3">
        <v>29</v>
      </c>
      <c r="E6" s="3">
        <v>61</v>
      </c>
      <c r="O6" s="2" t="s">
        <v>54</v>
      </c>
      <c r="P6" s="11">
        <f>B14-B9-B5</f>
        <v>6466</v>
      </c>
      <c r="Q6" s="11">
        <f>C14-C9</f>
        <v>8289</v>
      </c>
      <c r="R6" s="11">
        <f>D14-D9</f>
        <v>6399</v>
      </c>
      <c r="S6" s="11">
        <f>E14-E9</f>
        <v>5717</v>
      </c>
    </row>
    <row r="7" spans="1:19" ht="19" x14ac:dyDescent="0.2">
      <c r="A7" s="3" t="s">
        <v>11</v>
      </c>
      <c r="B7" s="4">
        <v>2042</v>
      </c>
      <c r="C7" s="4">
        <v>2269</v>
      </c>
      <c r="D7" s="3">
        <v>786</v>
      </c>
      <c r="E7" s="3">
        <v>887</v>
      </c>
      <c r="O7" t="s">
        <v>53</v>
      </c>
      <c r="P7">
        <f>P6/B14 *100</f>
        <v>68.597496286866118</v>
      </c>
      <c r="Q7">
        <f>Q6/C14 *100</f>
        <v>96.800186850402895</v>
      </c>
      <c r="R7">
        <f>R6/D14 *100</f>
        <v>95.039358384078426</v>
      </c>
      <c r="S7">
        <f>S6/E14 *100</f>
        <v>96.26199696918674</v>
      </c>
    </row>
    <row r="8" spans="1:19" ht="19" x14ac:dyDescent="0.2">
      <c r="A8" s="3" t="s">
        <v>12</v>
      </c>
      <c r="B8" s="3">
        <v>61</v>
      </c>
      <c r="C8" s="3">
        <v>44</v>
      </c>
      <c r="D8" s="3">
        <v>16</v>
      </c>
      <c r="E8" s="3">
        <v>35</v>
      </c>
    </row>
    <row r="9" spans="1:19" ht="38" x14ac:dyDescent="0.2">
      <c r="A9" s="3" t="s">
        <v>13</v>
      </c>
      <c r="B9" s="3">
        <v>421</v>
      </c>
      <c r="C9" s="3">
        <v>274</v>
      </c>
      <c r="D9" s="3">
        <v>334</v>
      </c>
      <c r="E9" s="3">
        <v>222</v>
      </c>
    </row>
    <row r="10" spans="1:19" ht="19" x14ac:dyDescent="0.2">
      <c r="A10" s="3" t="s">
        <v>14</v>
      </c>
      <c r="B10" s="3" t="s">
        <v>9</v>
      </c>
      <c r="C10" s="3">
        <v>109</v>
      </c>
      <c r="D10" s="3">
        <v>106</v>
      </c>
      <c r="E10" s="3" t="s">
        <v>9</v>
      </c>
    </row>
    <row r="11" spans="1:19" ht="19" x14ac:dyDescent="0.2">
      <c r="A11" s="3" t="s">
        <v>15</v>
      </c>
      <c r="B11" s="3">
        <v>232</v>
      </c>
      <c r="C11" s="3" t="s">
        <v>9</v>
      </c>
      <c r="D11" s="3">
        <v>24</v>
      </c>
      <c r="E11" s="3">
        <v>202</v>
      </c>
    </row>
    <row r="12" spans="1:19" ht="19" x14ac:dyDescent="0.2">
      <c r="A12" s="3" t="s">
        <v>16</v>
      </c>
      <c r="B12" s="3">
        <v>29</v>
      </c>
      <c r="C12" s="3">
        <v>22</v>
      </c>
      <c r="D12" s="3">
        <v>858</v>
      </c>
      <c r="E12" s="3">
        <v>19</v>
      </c>
    </row>
    <row r="13" spans="1:19" ht="19" x14ac:dyDescent="0.2">
      <c r="A13" s="3" t="s">
        <v>17</v>
      </c>
      <c r="B13" s="3" t="s">
        <v>9</v>
      </c>
      <c r="C13" s="3" t="s">
        <v>9</v>
      </c>
      <c r="D13" s="3" t="s">
        <v>9</v>
      </c>
      <c r="E13" s="3" t="s">
        <v>9</v>
      </c>
    </row>
    <row r="14" spans="1:19" ht="19" x14ac:dyDescent="0.2">
      <c r="A14" s="1" t="s">
        <v>18</v>
      </c>
      <c r="B14" s="5">
        <v>9426</v>
      </c>
      <c r="C14" s="5">
        <v>8563</v>
      </c>
      <c r="D14" s="5">
        <v>6733</v>
      </c>
      <c r="E14" s="5">
        <v>5939</v>
      </c>
    </row>
    <row r="15" spans="1:19" ht="19" x14ac:dyDescent="0.2">
      <c r="A15" s="1" t="s">
        <v>19</v>
      </c>
      <c r="B15" s="1"/>
      <c r="C15" s="1"/>
      <c r="D15" s="1"/>
      <c r="E15" s="1"/>
    </row>
    <row r="16" spans="1:19" ht="19" x14ac:dyDescent="0.2">
      <c r="A16" s="3" t="s">
        <v>20</v>
      </c>
      <c r="B16" s="4">
        <v>2833</v>
      </c>
      <c r="C16" s="4">
        <v>2687</v>
      </c>
      <c r="D16" s="4">
        <v>1600</v>
      </c>
      <c r="E16" s="4">
        <v>1535</v>
      </c>
    </row>
    <row r="17" spans="1:5" ht="19" x14ac:dyDescent="0.2">
      <c r="A17" s="3" t="s">
        <v>21</v>
      </c>
      <c r="B17" s="3">
        <v>369</v>
      </c>
      <c r="C17" s="3">
        <v>385</v>
      </c>
      <c r="D17" s="3">
        <v>310</v>
      </c>
      <c r="E17" s="3">
        <v>305</v>
      </c>
    </row>
    <row r="18" spans="1:5" ht="19" x14ac:dyDescent="0.2">
      <c r="A18" s="3" t="s">
        <v>22</v>
      </c>
      <c r="B18" s="4">
        <v>1015</v>
      </c>
      <c r="C18" s="3">
        <v>985</v>
      </c>
      <c r="D18" s="3">
        <v>884</v>
      </c>
      <c r="E18" s="3">
        <v>802</v>
      </c>
    </row>
    <row r="19" spans="1:5" ht="19" x14ac:dyDescent="0.2">
      <c r="A19" s="3" t="s">
        <v>23</v>
      </c>
      <c r="B19" s="3">
        <v>15</v>
      </c>
      <c r="C19" s="3">
        <v>15</v>
      </c>
      <c r="D19" s="3">
        <v>15</v>
      </c>
      <c r="E19" s="3">
        <v>15</v>
      </c>
    </row>
    <row r="20" spans="1:5" ht="19" x14ac:dyDescent="0.2">
      <c r="A20" s="3" t="s">
        <v>24</v>
      </c>
      <c r="B20" s="3">
        <v>7</v>
      </c>
      <c r="C20" s="3">
        <v>9</v>
      </c>
      <c r="D20" s="3">
        <v>6</v>
      </c>
      <c r="E20" s="3">
        <v>8</v>
      </c>
    </row>
    <row r="21" spans="1:5" ht="57" x14ac:dyDescent="0.2">
      <c r="A21" s="3" t="s">
        <v>25</v>
      </c>
      <c r="B21" s="3">
        <v>636</v>
      </c>
      <c r="C21" s="3">
        <v>541</v>
      </c>
      <c r="D21" s="3">
        <v>383</v>
      </c>
      <c r="E21" s="3">
        <v>304</v>
      </c>
    </row>
    <row r="22" spans="1:5" ht="19" x14ac:dyDescent="0.2">
      <c r="A22" s="3" t="s">
        <v>26</v>
      </c>
      <c r="B22" s="4">
        <v>1325</v>
      </c>
      <c r="C22" s="3">
        <v>964</v>
      </c>
      <c r="D22" s="3">
        <v>733</v>
      </c>
      <c r="E22" s="4">
        <v>1510</v>
      </c>
    </row>
    <row r="23" spans="1:5" ht="19" x14ac:dyDescent="0.2">
      <c r="A23" s="3" t="s">
        <v>27</v>
      </c>
      <c r="B23" s="3">
        <v>9</v>
      </c>
      <c r="C23" s="3">
        <v>6</v>
      </c>
      <c r="D23" s="3">
        <v>5</v>
      </c>
      <c r="E23" s="3">
        <v>5</v>
      </c>
    </row>
    <row r="24" spans="1:5" ht="38" x14ac:dyDescent="0.2">
      <c r="A24" s="3" t="s">
        <v>28</v>
      </c>
      <c r="B24" s="4">
        <v>1627</v>
      </c>
      <c r="C24" s="4">
        <v>1563</v>
      </c>
      <c r="D24" s="4">
        <v>1507</v>
      </c>
      <c r="E24" s="3">
        <v>613</v>
      </c>
    </row>
    <row r="25" spans="1:5" ht="19" x14ac:dyDescent="0.2">
      <c r="A25" s="3" t="s">
        <v>17</v>
      </c>
      <c r="B25" s="3" t="s">
        <v>9</v>
      </c>
      <c r="C25" s="3" t="s">
        <v>9</v>
      </c>
      <c r="D25" s="3" t="s">
        <v>9</v>
      </c>
      <c r="E25" s="3" t="s">
        <v>9</v>
      </c>
    </row>
    <row r="26" spans="1:5" ht="19" x14ac:dyDescent="0.2">
      <c r="A26" s="1" t="s">
        <v>29</v>
      </c>
      <c r="B26" s="5">
        <v>7836</v>
      </c>
      <c r="C26" s="5">
        <v>7155</v>
      </c>
      <c r="D26" s="5">
        <v>5443</v>
      </c>
      <c r="E26" s="5">
        <v>5098</v>
      </c>
    </row>
    <row r="27" spans="1:5" ht="76" x14ac:dyDescent="0.2">
      <c r="A27" s="1" t="s">
        <v>30</v>
      </c>
      <c r="B27" s="5">
        <v>1590</v>
      </c>
      <c r="C27" s="5">
        <v>1408</v>
      </c>
      <c r="D27" s="5">
        <v>1290</v>
      </c>
      <c r="E27" s="1">
        <v>842</v>
      </c>
    </row>
    <row r="28" spans="1:5" ht="19" x14ac:dyDescent="0.2">
      <c r="A28" s="3" t="s">
        <v>31</v>
      </c>
      <c r="B28" s="3" t="s">
        <v>9</v>
      </c>
      <c r="C28" s="3" t="s">
        <v>9</v>
      </c>
      <c r="D28" s="3" t="s">
        <v>9</v>
      </c>
      <c r="E28" s="3" t="s">
        <v>9</v>
      </c>
    </row>
    <row r="29" spans="1:5" ht="76" x14ac:dyDescent="0.2">
      <c r="A29" s="1" t="s">
        <v>32</v>
      </c>
      <c r="B29" s="5">
        <v>1590</v>
      </c>
      <c r="C29" s="5">
        <v>1408</v>
      </c>
      <c r="D29" s="5">
        <v>1290</v>
      </c>
      <c r="E29" s="1">
        <v>842</v>
      </c>
    </row>
    <row r="30" spans="1:5" ht="19" x14ac:dyDescent="0.2">
      <c r="A30" s="3" t="s">
        <v>33</v>
      </c>
      <c r="B30" s="4">
        <v>-1987</v>
      </c>
      <c r="C30" s="4">
        <v>-1772</v>
      </c>
      <c r="D30" s="4">
        <v>1494</v>
      </c>
      <c r="E30" s="3" t="s">
        <v>9</v>
      </c>
    </row>
    <row r="31" spans="1:5" ht="38" x14ac:dyDescent="0.2">
      <c r="A31" s="1" t="s">
        <v>34</v>
      </c>
      <c r="B31" s="1">
        <v>-398</v>
      </c>
      <c r="C31" s="1">
        <v>-364</v>
      </c>
      <c r="D31" s="5">
        <v>2784</v>
      </c>
      <c r="E31" s="1">
        <v>842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34E4-6C8A-5A4B-85D6-4C1EFF1B35DC}">
  <dimension ref="A3:I23"/>
  <sheetViews>
    <sheetView workbookViewId="0">
      <selection activeCell="A3" sqref="A3:D23"/>
    </sheetView>
  </sheetViews>
  <sheetFormatPr baseColWidth="10" defaultRowHeight="16" x14ac:dyDescent="0.2"/>
  <cols>
    <col min="1" max="1" width="43" customWidth="1"/>
    <col min="2" max="2" width="24.6640625" customWidth="1"/>
    <col min="3" max="3" width="26.83203125" customWidth="1"/>
    <col min="4" max="4" width="32.33203125" customWidth="1"/>
    <col min="6" max="6" width="17.5" customWidth="1"/>
    <col min="7" max="7" width="18.5" customWidth="1"/>
    <col min="8" max="8" width="14.6640625" customWidth="1"/>
    <col min="9" max="9" width="18.1640625" customWidth="1"/>
  </cols>
  <sheetData>
    <row r="3" spans="1:9" ht="39" customHeight="1" x14ac:dyDescent="0.2">
      <c r="A3" s="8" t="s">
        <v>39</v>
      </c>
      <c r="B3" s="8" t="s">
        <v>40</v>
      </c>
      <c r="C3" s="8" t="s">
        <v>41</v>
      </c>
      <c r="D3" s="8" t="s">
        <v>42</v>
      </c>
      <c r="F3" s="6"/>
      <c r="G3" s="6"/>
      <c r="H3" s="6"/>
      <c r="I3" s="6"/>
    </row>
    <row r="4" spans="1:9" ht="37" customHeight="1" x14ac:dyDescent="0.2">
      <c r="A4" s="8" t="s">
        <v>43</v>
      </c>
      <c r="B4" s="8" t="s">
        <v>44</v>
      </c>
      <c r="C4" s="9">
        <v>2837</v>
      </c>
      <c r="D4" s="9">
        <v>2836</v>
      </c>
      <c r="F4" s="6"/>
      <c r="G4" s="6"/>
      <c r="H4" s="7"/>
      <c r="I4" s="7"/>
    </row>
    <row r="5" spans="1:9" ht="20" x14ac:dyDescent="0.2">
      <c r="A5" s="8" t="s">
        <v>43</v>
      </c>
      <c r="B5" s="8" t="s">
        <v>45</v>
      </c>
      <c r="C5" s="9">
        <v>2786</v>
      </c>
      <c r="D5" s="9">
        <v>3025</v>
      </c>
      <c r="F5" s="6"/>
      <c r="G5" s="6"/>
      <c r="H5" s="7"/>
      <c r="I5" s="7"/>
    </row>
    <row r="6" spans="1:9" ht="20" x14ac:dyDescent="0.2">
      <c r="A6" s="8" t="s">
        <v>43</v>
      </c>
      <c r="B6" s="8" t="s">
        <v>46</v>
      </c>
      <c r="C6" s="9">
        <v>3313</v>
      </c>
      <c r="D6" s="9">
        <v>3479</v>
      </c>
      <c r="F6" s="6"/>
      <c r="G6" s="6"/>
      <c r="H6" s="7"/>
      <c r="I6" s="7"/>
    </row>
    <row r="7" spans="1:9" ht="20" x14ac:dyDescent="0.2">
      <c r="A7" s="8" t="s">
        <v>43</v>
      </c>
      <c r="B7" s="8" t="s">
        <v>47</v>
      </c>
      <c r="C7" s="9">
        <v>3538</v>
      </c>
      <c r="D7" s="9">
        <v>3852</v>
      </c>
      <c r="F7" s="6"/>
      <c r="G7" s="6"/>
      <c r="H7" s="7"/>
      <c r="I7" s="7"/>
    </row>
    <row r="8" spans="1:9" ht="20" x14ac:dyDescent="0.2">
      <c r="A8" s="8" t="s">
        <v>48</v>
      </c>
      <c r="B8" s="8" t="s">
        <v>44</v>
      </c>
      <c r="C8" s="9">
        <v>4395</v>
      </c>
      <c r="D8" s="9">
        <v>3737</v>
      </c>
      <c r="F8" s="6"/>
      <c r="G8" s="6"/>
      <c r="H8" s="7"/>
      <c r="I8" s="7"/>
    </row>
    <row r="9" spans="1:9" ht="20" x14ac:dyDescent="0.2">
      <c r="A9" s="8" t="s">
        <v>48</v>
      </c>
      <c r="B9" s="8" t="s">
        <v>45</v>
      </c>
      <c r="C9" s="9">
        <v>5203</v>
      </c>
      <c r="D9" s="9">
        <v>4558</v>
      </c>
      <c r="F9" s="6"/>
      <c r="G9" s="6"/>
      <c r="H9" s="7"/>
      <c r="I9" s="7"/>
    </row>
    <row r="10" spans="1:9" ht="20" x14ac:dyDescent="0.2">
      <c r="A10" s="8" t="s">
        <v>48</v>
      </c>
      <c r="B10" s="8" t="s">
        <v>46</v>
      </c>
      <c r="C10" s="9">
        <v>4977</v>
      </c>
      <c r="D10" s="9">
        <v>4512</v>
      </c>
      <c r="F10" s="6"/>
      <c r="G10" s="6"/>
      <c r="H10" s="7"/>
      <c r="I10" s="7"/>
    </row>
    <row r="11" spans="1:9" ht="20" x14ac:dyDescent="0.2">
      <c r="A11" s="8" t="s">
        <v>48</v>
      </c>
      <c r="B11" s="8" t="s">
        <v>47</v>
      </c>
      <c r="C11" s="9">
        <v>5267</v>
      </c>
      <c r="D11" s="9">
        <v>5004</v>
      </c>
      <c r="F11" s="6"/>
      <c r="G11" s="6"/>
      <c r="H11" s="7"/>
      <c r="I11" s="7"/>
    </row>
    <row r="12" spans="1:9" ht="20" x14ac:dyDescent="0.2">
      <c r="A12" s="8" t="s">
        <v>49</v>
      </c>
      <c r="B12" s="8" t="s">
        <v>44</v>
      </c>
      <c r="C12" s="9">
        <v>3146</v>
      </c>
      <c r="D12" s="9">
        <v>2292</v>
      </c>
      <c r="F12" s="6"/>
      <c r="G12" s="6"/>
      <c r="H12" s="7"/>
      <c r="I12" s="7"/>
    </row>
    <row r="13" spans="1:9" ht="20" x14ac:dyDescent="0.2">
      <c r="A13" s="8" t="s">
        <v>49</v>
      </c>
      <c r="B13" s="8" t="s">
        <v>45</v>
      </c>
      <c r="C13" s="9">
        <v>2937</v>
      </c>
      <c r="D13" s="9">
        <v>2050</v>
      </c>
      <c r="F13" s="6"/>
      <c r="G13" s="6"/>
      <c r="H13" s="7"/>
      <c r="I13" s="7"/>
    </row>
    <row r="14" spans="1:9" ht="20" x14ac:dyDescent="0.2">
      <c r="A14" s="8" t="s">
        <v>49</v>
      </c>
      <c r="B14" s="8" t="s">
        <v>46</v>
      </c>
      <c r="C14" s="9">
        <v>3524</v>
      </c>
      <c r="D14" s="9">
        <v>2874</v>
      </c>
      <c r="F14" s="6"/>
      <c r="G14" s="6"/>
      <c r="H14" s="7"/>
      <c r="I14" s="7"/>
    </row>
    <row r="15" spans="1:9" ht="20" x14ac:dyDescent="0.2">
      <c r="A15" s="8" t="s">
        <v>49</v>
      </c>
      <c r="B15" s="8" t="s">
        <v>47</v>
      </c>
      <c r="C15" s="9">
        <v>3883</v>
      </c>
      <c r="D15" s="9">
        <v>3122</v>
      </c>
      <c r="F15" s="6"/>
      <c r="G15" s="6"/>
      <c r="H15" s="7"/>
      <c r="I15" s="7"/>
    </row>
    <row r="16" spans="1:9" ht="20" x14ac:dyDescent="0.2">
      <c r="A16" s="8" t="s">
        <v>50</v>
      </c>
      <c r="B16" s="8" t="s">
        <v>44</v>
      </c>
      <c r="C16" s="9">
        <v>4163</v>
      </c>
      <c r="D16" s="9">
        <v>3908</v>
      </c>
      <c r="F16" s="6"/>
      <c r="G16" s="6"/>
      <c r="H16" s="7"/>
      <c r="I16" s="7"/>
    </row>
    <row r="17" spans="1:9" ht="20" x14ac:dyDescent="0.2">
      <c r="A17" s="8" t="s">
        <v>50</v>
      </c>
      <c r="B17" s="8" t="s">
        <v>45</v>
      </c>
      <c r="C17" s="9">
        <v>3732</v>
      </c>
      <c r="D17" s="9">
        <v>4896</v>
      </c>
      <c r="F17" s="6"/>
      <c r="G17" s="6"/>
      <c r="H17" s="7"/>
      <c r="I17" s="7"/>
    </row>
    <row r="18" spans="1:9" ht="20" x14ac:dyDescent="0.2">
      <c r="A18" s="8" t="s">
        <v>50</v>
      </c>
      <c r="B18" s="8" t="s">
        <v>46</v>
      </c>
      <c r="C18" s="9">
        <v>3981</v>
      </c>
      <c r="D18" s="9">
        <v>4435</v>
      </c>
      <c r="F18" s="6"/>
      <c r="G18" s="6"/>
      <c r="H18" s="7"/>
      <c r="I18" s="7"/>
    </row>
    <row r="19" spans="1:9" ht="20" x14ac:dyDescent="0.2">
      <c r="A19" s="8" t="s">
        <v>50</v>
      </c>
      <c r="B19" s="8" t="s">
        <v>47</v>
      </c>
      <c r="C19" s="9">
        <v>4224</v>
      </c>
      <c r="D19" s="9">
        <v>4628</v>
      </c>
      <c r="F19" s="6"/>
      <c r="G19" s="6"/>
      <c r="H19" s="7"/>
      <c r="I19" s="7"/>
    </row>
    <row r="20" spans="1:9" ht="20" x14ac:dyDescent="0.2">
      <c r="A20" s="8" t="s">
        <v>51</v>
      </c>
      <c r="B20" s="8" t="s">
        <v>44</v>
      </c>
      <c r="C20" s="9">
        <v>5939</v>
      </c>
      <c r="D20" s="9">
        <v>5098</v>
      </c>
      <c r="F20" s="6"/>
      <c r="G20" s="6"/>
      <c r="H20" s="7"/>
      <c r="I20" s="7"/>
    </row>
    <row r="21" spans="1:9" ht="20" x14ac:dyDescent="0.2">
      <c r="A21" s="8" t="s">
        <v>51</v>
      </c>
      <c r="B21" s="8" t="s">
        <v>45</v>
      </c>
      <c r="C21" s="9">
        <v>6733</v>
      </c>
      <c r="D21" s="9">
        <v>5443</v>
      </c>
      <c r="F21" s="6"/>
      <c r="G21" s="6"/>
      <c r="H21" s="7"/>
      <c r="I21" s="7"/>
    </row>
    <row r="22" spans="1:9" ht="20" x14ac:dyDescent="0.2">
      <c r="A22" s="8" t="s">
        <v>51</v>
      </c>
      <c r="B22" s="8" t="s">
        <v>46</v>
      </c>
      <c r="C22" s="9">
        <v>8563</v>
      </c>
      <c r="D22" s="9">
        <v>7155</v>
      </c>
      <c r="F22" s="6"/>
      <c r="G22" s="6"/>
      <c r="H22" s="7"/>
      <c r="I22" s="7"/>
    </row>
    <row r="23" spans="1:9" ht="20" x14ac:dyDescent="0.2">
      <c r="A23" s="8" t="s">
        <v>51</v>
      </c>
      <c r="B23" s="8" t="s">
        <v>47</v>
      </c>
      <c r="C23" s="9">
        <v>9426</v>
      </c>
      <c r="D23" s="9">
        <v>7836</v>
      </c>
      <c r="F23" s="6"/>
      <c r="G23" s="6"/>
      <c r="H23" s="7"/>
      <c r="I23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Surat</vt:lpstr>
      <vt:lpstr>Amdavad</vt:lpstr>
      <vt:lpstr>Greater Hyderabad</vt:lpstr>
      <vt:lpstr>Kolkata </vt:lpstr>
      <vt:lpstr>Pune</vt:lpstr>
      <vt:lpstr>Revenue and 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HS24M113 Mehak  Chaudhary</dc:creator>
  <cp:lastModifiedBy>HS24M113 Mehak  Chaudhary</cp:lastModifiedBy>
  <dcterms:created xsi:type="dcterms:W3CDTF">2025-10-07T14:32:43Z</dcterms:created>
  <dcterms:modified xsi:type="dcterms:W3CDTF">2025-11-06T10:58:12Z</dcterms:modified>
</cp:coreProperties>
</file>